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dia Management\Scripts\Lookup Tables\"/>
    </mc:Choice>
  </mc:AlternateContent>
  <xr:revisionPtr revIDLastSave="0" documentId="13_ncr:1_{97203A2C-5C18-40D5-BC22-22D25EA3F08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dex_of_People" sheetId="1" r:id="rId1"/>
    <sheet name="Index_of_Locations" sheetId="9" r:id="rId2"/>
    <sheet name="Index_of_Keywords" sheetId="8" r:id="rId3"/>
  </sheets>
  <definedNames>
    <definedName name="_xlnm._FilterDatabase" localSheetId="0" hidden="1">Index_of_People!$A$4:$P$379</definedName>
    <definedName name="_xlpm.FamilyName" hidden="1" xlm="1">#NAME?</definedName>
    <definedName name="_xlpm.MarriedNam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76" i="1" l="1"/>
  <c r="A377" i="1"/>
  <c r="A378" i="1" s="1"/>
  <c r="A379" i="1" s="1"/>
  <c r="A375" i="1"/>
  <c r="C379" i="1"/>
  <c r="K379" i="1"/>
  <c r="C378" i="1"/>
  <c r="K378" i="1"/>
  <c r="C377" i="1"/>
  <c r="K377" i="1"/>
  <c r="C376" i="1"/>
  <c r="K376" i="1"/>
  <c r="C375" i="1"/>
  <c r="K375" i="1"/>
  <c r="C374" i="1"/>
  <c r="K374" i="1"/>
  <c r="C373" i="1"/>
  <c r="C372" i="1"/>
  <c r="K373" i="1" s="1"/>
  <c r="K372" i="1"/>
  <c r="C371" i="1"/>
  <c r="K370" i="1" s="1"/>
  <c r="C370" i="1"/>
  <c r="K371" i="1" s="1"/>
  <c r="A370" i="1"/>
  <c r="C369" i="1"/>
  <c r="K368" i="1" s="1"/>
  <c r="C368" i="1"/>
  <c r="K369" i="1" s="1"/>
  <c r="C345" i="1"/>
  <c r="K345" i="1"/>
  <c r="C124" i="1"/>
  <c r="K124" i="1"/>
  <c r="C206" i="1"/>
  <c r="AC171" i="9"/>
  <c r="AC170" i="9"/>
  <c r="AC169" i="9"/>
  <c r="AC146" i="9"/>
  <c r="AC168" i="9"/>
  <c r="AC167" i="9"/>
  <c r="AC166" i="9"/>
  <c r="AC172" i="9"/>
  <c r="AC141" i="9"/>
  <c r="AC142" i="9"/>
  <c r="AC143" i="9"/>
  <c r="AC144" i="9"/>
  <c r="AC145" i="9"/>
  <c r="AC140" i="9"/>
  <c r="AC139" i="9"/>
  <c r="AC138" i="9"/>
  <c r="AC165" i="9"/>
  <c r="AC163" i="9"/>
  <c r="AC164" i="9"/>
  <c r="AC162" i="9"/>
  <c r="AC161" i="9"/>
  <c r="AC159" i="9"/>
  <c r="AC160" i="9"/>
  <c r="AC158" i="9"/>
  <c r="AC157" i="9"/>
  <c r="AC155" i="9"/>
  <c r="AC156" i="9"/>
  <c r="AC154" i="9"/>
  <c r="AC153" i="9"/>
  <c r="AC151" i="9"/>
  <c r="AC152" i="9"/>
  <c r="AC149" i="9"/>
  <c r="AC150" i="9"/>
  <c r="AC148" i="9"/>
  <c r="AC147" i="9"/>
  <c r="AC601" i="9"/>
  <c r="AC591" i="9"/>
  <c r="AC498" i="9"/>
  <c r="AC579" i="9"/>
  <c r="AC450" i="9"/>
  <c r="AC347" i="9"/>
  <c r="AC306" i="9"/>
  <c r="AC608" i="9"/>
  <c r="AC286" i="9"/>
  <c r="AC246" i="9"/>
  <c r="AC623" i="9"/>
  <c r="AC293" i="9"/>
  <c r="AC659" i="9"/>
  <c r="AC272" i="9"/>
  <c r="AC529" i="9"/>
  <c r="AC429" i="9"/>
  <c r="AC173" i="9"/>
  <c r="AC259" i="9"/>
  <c r="AC527" i="9"/>
  <c r="AC280" i="9"/>
  <c r="AC544" i="9"/>
  <c r="AC189" i="9"/>
  <c r="AC188" i="9"/>
  <c r="AC197" i="9"/>
  <c r="AC176" i="9"/>
  <c r="AC220" i="9"/>
  <c r="AC436" i="9"/>
  <c r="AC687" i="9"/>
  <c r="AC489" i="9"/>
  <c r="AC219" i="9"/>
  <c r="AC340" i="9"/>
  <c r="AC182" i="9"/>
  <c r="AC422" i="9"/>
  <c r="AC374" i="9"/>
  <c r="AC447" i="9"/>
  <c r="AC218" i="9"/>
  <c r="AC520" i="9"/>
  <c r="AC614" i="9"/>
  <c r="AC201" i="9"/>
  <c r="AC633" i="9"/>
  <c r="AC209" i="9"/>
  <c r="AC408" i="9"/>
  <c r="AC452" i="9"/>
  <c r="AC214" i="9"/>
  <c r="AC251" i="9"/>
  <c r="AC420" i="9"/>
  <c r="AC425" i="9"/>
  <c r="AC507" i="9"/>
  <c r="AC204" i="9"/>
  <c r="AC331" i="9"/>
  <c r="AC414" i="9"/>
  <c r="AC510" i="9"/>
  <c r="AC445" i="9"/>
  <c r="AC684" i="9"/>
  <c r="AC224" i="9"/>
  <c r="AC555" i="9"/>
  <c r="AC661" i="9"/>
  <c r="AC495" i="9"/>
  <c r="AC592" i="9"/>
  <c r="AC597" i="9"/>
  <c r="AC223" i="9"/>
  <c r="AC610" i="9"/>
  <c r="AC631" i="9"/>
  <c r="AC386" i="9"/>
  <c r="AC589" i="9"/>
  <c r="AC642" i="9"/>
  <c r="AC550" i="9"/>
  <c r="AC244" i="9"/>
  <c r="AC192" i="9"/>
  <c r="AC359" i="9"/>
  <c r="AC496" i="9"/>
  <c r="AC539" i="9"/>
  <c r="AC406" i="9"/>
  <c r="AC222" i="9"/>
  <c r="AC361" i="9"/>
  <c r="AC295" i="9"/>
  <c r="AC195" i="9"/>
  <c r="AC581" i="9"/>
  <c r="AC571" i="9"/>
  <c r="AC228" i="9"/>
  <c r="AC337" i="9"/>
  <c r="AC497" i="9"/>
  <c r="AC180" i="9"/>
  <c r="AC200" i="9"/>
  <c r="AC486" i="9"/>
  <c r="AC668" i="9"/>
  <c r="AC536" i="9"/>
  <c r="AC175" i="9"/>
  <c r="AC490" i="9"/>
  <c r="AC314" i="9"/>
  <c r="AC370" i="9"/>
  <c r="AC609" i="9"/>
  <c r="AC389" i="9"/>
  <c r="AC415" i="9"/>
  <c r="AC443" i="9"/>
  <c r="AC560" i="9"/>
  <c r="AC433" i="9"/>
  <c r="AC525" i="9"/>
  <c r="AC526" i="9"/>
  <c r="AC568" i="9"/>
  <c r="AC674" i="9"/>
  <c r="AC435" i="9"/>
  <c r="AC294" i="9"/>
  <c r="AC405" i="9"/>
  <c r="C181" i="1"/>
  <c r="K225" i="1" s="1"/>
  <c r="C136" i="1"/>
  <c r="K110" i="1" s="1"/>
  <c r="C110" i="1"/>
  <c r="K136" i="1" s="1"/>
  <c r="C180" i="1"/>
  <c r="K233" i="1" s="1"/>
  <c r="C258" i="1"/>
  <c r="K30" i="1" s="1"/>
  <c r="C146" i="1"/>
  <c r="K146" i="1"/>
  <c r="C30" i="1"/>
  <c r="K258" i="1" s="1"/>
  <c r="C233" i="1"/>
  <c r="K180" i="1" s="1"/>
  <c r="C15" i="1"/>
  <c r="K15" i="1"/>
  <c r="C90" i="1"/>
  <c r="C140" i="1"/>
  <c r="K90" i="1" s="1"/>
  <c r="C41" i="1"/>
  <c r="C185" i="1"/>
  <c r="K41" i="1" s="1"/>
  <c r="C265" i="1"/>
  <c r="K361" i="1" s="1"/>
  <c r="C361" i="1"/>
  <c r="K265" i="1" s="1"/>
  <c r="C45" i="1"/>
  <c r="K45" i="1"/>
  <c r="C178" i="1"/>
  <c r="K174" i="1" s="1"/>
  <c r="C96" i="1"/>
  <c r="K316" i="1" s="1"/>
  <c r="C316" i="1"/>
  <c r="K96" i="1" s="1"/>
  <c r="C174" i="1"/>
  <c r="K178" i="1" s="1"/>
  <c r="C57" i="1"/>
  <c r="K95" i="1" s="1"/>
  <c r="C95" i="1"/>
  <c r="K57" i="1" s="1"/>
  <c r="C213" i="1"/>
  <c r="K213" i="1"/>
  <c r="C77" i="1"/>
  <c r="K77" i="1"/>
  <c r="C14" i="1"/>
  <c r="K14" i="1"/>
  <c r="C310" i="1"/>
  <c r="K66" i="1" s="1"/>
  <c r="C184" i="1"/>
  <c r="K26" i="1" s="1"/>
  <c r="C337" i="1"/>
  <c r="K331" i="1" s="1"/>
  <c r="C76" i="1"/>
  <c r="K76" i="1"/>
  <c r="C24" i="1"/>
  <c r="K62" i="1" s="1"/>
  <c r="C61" i="1"/>
  <c r="C151" i="1"/>
  <c r="K307" i="1" s="1"/>
  <c r="C307" i="1"/>
  <c r="C164" i="1"/>
  <c r="K164" i="1"/>
  <c r="C210" i="1"/>
  <c r="K210" i="1"/>
  <c r="C285" i="1"/>
  <c r="K70" i="1" s="1"/>
  <c r="C203" i="1"/>
  <c r="K203" i="1"/>
  <c r="C226" i="1"/>
  <c r="K226" i="1"/>
  <c r="C27" i="1"/>
  <c r="K27" i="1"/>
  <c r="C67" i="1"/>
  <c r="K280" i="1" s="1"/>
  <c r="C59" i="1"/>
  <c r="K59" i="1"/>
  <c r="C291" i="1"/>
  <c r="K291" i="1"/>
  <c r="C58" i="1"/>
  <c r="K296" i="1" s="1"/>
  <c r="C172" i="1"/>
  <c r="K148" i="1" s="1"/>
  <c r="C215" i="1"/>
  <c r="K128" i="1" s="1"/>
  <c r="C53" i="1"/>
  <c r="K356" i="1" s="1"/>
  <c r="C68" i="1"/>
  <c r="K68" i="1"/>
  <c r="C105" i="1"/>
  <c r="K105" i="1"/>
  <c r="C147" i="1"/>
  <c r="K147" i="1"/>
  <c r="C246" i="1"/>
  <c r="K246" i="1"/>
  <c r="C280" i="1"/>
  <c r="K67" i="1" s="1"/>
  <c r="C295" i="1"/>
  <c r="K295" i="1"/>
  <c r="C356" i="1"/>
  <c r="K53" i="1" s="1"/>
  <c r="C125" i="1"/>
  <c r="K125" i="1"/>
  <c r="C296" i="1"/>
  <c r="K58" i="1" s="1"/>
  <c r="C112" i="1"/>
  <c r="K112" i="1"/>
  <c r="C138" i="1"/>
  <c r="K138" i="1"/>
  <c r="C248" i="1"/>
  <c r="K248" i="1"/>
  <c r="C322" i="1"/>
  <c r="K322" i="1"/>
  <c r="C50" i="1"/>
  <c r="K50" i="1"/>
  <c r="C83" i="1"/>
  <c r="K83" i="1"/>
  <c r="C171" i="1"/>
  <c r="K171" i="1"/>
  <c r="C209" i="1"/>
  <c r="K209" i="1"/>
  <c r="C221" i="1"/>
  <c r="K221" i="1"/>
  <c r="C283" i="1"/>
  <c r="K283" i="1"/>
  <c r="C309" i="1"/>
  <c r="K309" i="1"/>
  <c r="C351" i="1"/>
  <c r="K351" i="1"/>
  <c r="C353" i="1"/>
  <c r="K353" i="1"/>
  <c r="C49" i="1"/>
  <c r="K49" i="1"/>
  <c r="C73" i="1"/>
  <c r="C188" i="1"/>
  <c r="K188" i="1"/>
  <c r="C51" i="1"/>
  <c r="K81" i="1" s="1"/>
  <c r="C161" i="1"/>
  <c r="K161" i="1"/>
  <c r="C81" i="1"/>
  <c r="K51" i="1" s="1"/>
  <c r="C250" i="1"/>
  <c r="K250" i="1"/>
  <c r="C128" i="1"/>
  <c r="K215" i="1" s="1"/>
  <c r="C100" i="1"/>
  <c r="K100" i="1"/>
  <c r="C35" i="1"/>
  <c r="K35" i="1"/>
  <c r="C179" i="1"/>
  <c r="K179" i="1"/>
  <c r="C313" i="1"/>
  <c r="K313" i="1"/>
  <c r="C346" i="1"/>
  <c r="K346" i="1"/>
  <c r="C269" i="1"/>
  <c r="K269" i="1"/>
  <c r="C360" i="1"/>
  <c r="K360" i="1"/>
  <c r="C225" i="1"/>
  <c r="K181" i="1" s="1"/>
  <c r="C89" i="1"/>
  <c r="K89" i="1"/>
  <c r="C236" i="1"/>
  <c r="K236" i="1"/>
  <c r="C308" i="1"/>
  <c r="K308" i="1"/>
  <c r="C66" i="1"/>
  <c r="C148" i="1"/>
  <c r="C175" i="1"/>
  <c r="K61" i="1" s="1"/>
  <c r="C70" i="1"/>
  <c r="K285" i="1" s="1"/>
  <c r="C331" i="1"/>
  <c r="K337" i="1" s="1"/>
  <c r="C26" i="1"/>
  <c r="K184" i="1" s="1"/>
  <c r="C62" i="1"/>
  <c r="K24" i="1" s="1"/>
  <c r="C54" i="1"/>
  <c r="C116" i="1"/>
  <c r="C354" i="1"/>
  <c r="C336" i="1"/>
  <c r="C97" i="1"/>
  <c r="C56" i="1"/>
  <c r="C311" i="1"/>
  <c r="C63" i="1"/>
  <c r="C262" i="1"/>
  <c r="C260" i="1"/>
  <c r="C281" i="1"/>
  <c r="C247" i="1"/>
  <c r="C52" i="1"/>
  <c r="C94" i="1"/>
  <c r="C160" i="1"/>
  <c r="C228" i="1"/>
  <c r="C357" i="1"/>
  <c r="C31" i="1"/>
  <c r="C300" i="1"/>
  <c r="C339" i="1"/>
  <c r="C23" i="1"/>
  <c r="C303" i="1"/>
  <c r="C117" i="1"/>
  <c r="C253" i="1"/>
  <c r="C320" i="1"/>
  <c r="C197" i="1"/>
  <c r="C277" i="1"/>
  <c r="C232" i="1"/>
  <c r="C343" i="1"/>
  <c r="C256" i="1"/>
  <c r="C11" i="1"/>
  <c r="C234" i="1"/>
  <c r="C196" i="1"/>
  <c r="C190" i="1"/>
  <c r="C323" i="1"/>
  <c r="C84" i="1"/>
  <c r="C240" i="1"/>
  <c r="C193" i="1"/>
  <c r="C266" i="1"/>
  <c r="C108" i="1"/>
  <c r="C155" i="1"/>
  <c r="C195" i="1"/>
  <c r="C86" i="1"/>
  <c r="C211" i="1"/>
  <c r="C289" i="1"/>
  <c r="C78" i="1"/>
  <c r="C217" i="1"/>
  <c r="C121" i="1"/>
  <c r="C132" i="1"/>
  <c r="C134" i="1"/>
  <c r="C166" i="1"/>
  <c r="C350" i="1"/>
  <c r="C287" i="1"/>
  <c r="C47" i="1"/>
  <c r="C243" i="1"/>
  <c r="C220" i="1"/>
  <c r="C318" i="1"/>
  <c r="C150" i="1"/>
  <c r="C93" i="1"/>
  <c r="C235" i="1"/>
  <c r="C122" i="1"/>
  <c r="C254" i="1"/>
  <c r="C18" i="1"/>
  <c r="C176" i="1"/>
  <c r="C205" i="1"/>
  <c r="C99" i="1"/>
  <c r="C284" i="1"/>
  <c r="C338" i="1"/>
  <c r="C101" i="1"/>
  <c r="K206" i="1" s="1"/>
  <c r="C252" i="1"/>
  <c r="C272" i="1"/>
  <c r="C102" i="1"/>
  <c r="C87" i="1"/>
  <c r="C60" i="1"/>
  <c r="C298" i="1"/>
  <c r="C38" i="1"/>
  <c r="C21" i="1"/>
  <c r="C214" i="1"/>
  <c r="C267" i="1"/>
  <c r="C330" i="1"/>
  <c r="C358" i="1"/>
  <c r="C92" i="1"/>
  <c r="C75" i="1"/>
  <c r="C321" i="1"/>
  <c r="C141" i="1"/>
  <c r="C143" i="1"/>
  <c r="C80" i="1"/>
  <c r="C182" i="1"/>
  <c r="C306" i="1"/>
  <c r="C144" i="1"/>
  <c r="C19" i="1"/>
  <c r="C91" i="1"/>
  <c r="C244" i="1"/>
  <c r="C187" i="1"/>
  <c r="C183" i="1"/>
  <c r="C304" i="1"/>
  <c r="C201" i="1"/>
  <c r="C162" i="1"/>
  <c r="C130" i="1"/>
  <c r="C198" i="1"/>
  <c r="C119" i="1"/>
  <c r="C216" i="1"/>
  <c r="C218" i="1"/>
  <c r="C278" i="1"/>
  <c r="C319" i="1"/>
  <c r="C274" i="1"/>
  <c r="C261" i="1"/>
  <c r="C33" i="1"/>
  <c r="C153" i="1"/>
  <c r="C342" i="1"/>
  <c r="C348" i="1"/>
  <c r="C123" i="1"/>
  <c r="C139" i="1"/>
  <c r="C103" i="1"/>
  <c r="C365" i="1"/>
  <c r="C227" i="1"/>
  <c r="C349" i="1"/>
  <c r="C118" i="1"/>
  <c r="C55" i="1"/>
  <c r="C79" i="1"/>
  <c r="C186" i="1"/>
  <c r="C202" i="1"/>
  <c r="C207" i="1"/>
  <c r="C327" i="1"/>
  <c r="C85" i="1"/>
  <c r="C177" i="1"/>
  <c r="C204" i="1"/>
  <c r="C131" i="1"/>
  <c r="C157" i="1"/>
  <c r="C237" i="1"/>
  <c r="C98" i="1"/>
  <c r="C173" i="1"/>
  <c r="C194" i="1"/>
  <c r="C42" i="1"/>
  <c r="C224" i="1"/>
  <c r="C200" i="1"/>
  <c r="C314" i="1"/>
  <c r="C12" i="1"/>
  <c r="C347" i="1"/>
  <c r="C325" i="1"/>
  <c r="C230" i="1"/>
  <c r="C268" i="1"/>
  <c r="C168" i="1"/>
  <c r="C127" i="1"/>
  <c r="C344" i="1"/>
  <c r="C145" i="1"/>
  <c r="C249" i="1"/>
  <c r="C363" i="1"/>
  <c r="C88" i="1"/>
  <c r="C359" i="1"/>
  <c r="C129" i="1"/>
  <c r="C109" i="1"/>
  <c r="C276" i="1"/>
  <c r="C282" i="1"/>
  <c r="C219" i="1"/>
  <c r="C192" i="1"/>
  <c r="C328" i="1"/>
  <c r="C142" i="1"/>
  <c r="C315" i="1"/>
  <c r="C22" i="1"/>
  <c r="C82" i="1"/>
  <c r="C191" i="1"/>
  <c r="C69" i="1"/>
  <c r="C332" i="1"/>
  <c r="C326" i="1"/>
  <c r="C106" i="1"/>
  <c r="C329" i="1"/>
  <c r="C255" i="1"/>
  <c r="C72" i="1"/>
  <c r="C152" i="1"/>
  <c r="C16" i="1"/>
  <c r="C293" i="1"/>
  <c r="C317" i="1"/>
  <c r="C169" i="1"/>
  <c r="C158" i="1"/>
  <c r="C279" i="1"/>
  <c r="C163" i="1"/>
  <c r="C107" i="1"/>
  <c r="C294" i="1"/>
  <c r="C355" i="1"/>
  <c r="C199" i="1"/>
  <c r="C362" i="1"/>
  <c r="C367" i="1"/>
  <c r="C270" i="1"/>
  <c r="C13" i="1"/>
  <c r="C17" i="1"/>
  <c r="C20" i="1"/>
  <c r="C25" i="1"/>
  <c r="C28" i="1"/>
  <c r="C29" i="1"/>
  <c r="C32" i="1"/>
  <c r="C34" i="1"/>
  <c r="C36" i="1"/>
  <c r="C37" i="1"/>
  <c r="C39" i="1"/>
  <c r="C40" i="1"/>
  <c r="C43" i="1"/>
  <c r="C44" i="1"/>
  <c r="C46" i="1"/>
  <c r="C48" i="1"/>
  <c r="C64" i="1"/>
  <c r="C65" i="1"/>
  <c r="C71" i="1"/>
  <c r="C74" i="1"/>
  <c r="C104" i="1"/>
  <c r="C111" i="1"/>
  <c r="C113" i="1"/>
  <c r="C114" i="1"/>
  <c r="C115" i="1"/>
  <c r="C120" i="1"/>
  <c r="C126" i="1"/>
  <c r="C133" i="1"/>
  <c r="C135" i="1"/>
  <c r="C137" i="1"/>
  <c r="C149" i="1"/>
  <c r="C154" i="1"/>
  <c r="C156" i="1"/>
  <c r="C159" i="1"/>
  <c r="C165" i="1"/>
  <c r="C167" i="1"/>
  <c r="C170" i="1"/>
  <c r="C189" i="1"/>
  <c r="C208" i="1"/>
  <c r="C212" i="1"/>
  <c r="C222" i="1"/>
  <c r="C223" i="1"/>
  <c r="C229" i="1"/>
  <c r="C231" i="1"/>
  <c r="C238" i="1"/>
  <c r="C239" i="1"/>
  <c r="C241" i="1"/>
  <c r="C242" i="1"/>
  <c r="C245" i="1"/>
  <c r="C251" i="1"/>
  <c r="C257" i="1"/>
  <c r="C259" i="1"/>
  <c r="C263" i="1"/>
  <c r="C264" i="1"/>
  <c r="C271" i="1"/>
  <c r="C273" i="1"/>
  <c r="C275" i="1"/>
  <c r="C286" i="1"/>
  <c r="C288" i="1"/>
  <c r="C290" i="1"/>
  <c r="C292" i="1"/>
  <c r="C297" i="1"/>
  <c r="C299" i="1"/>
  <c r="C301" i="1"/>
  <c r="C302" i="1"/>
  <c r="C305" i="1"/>
  <c r="C312" i="1"/>
  <c r="C324" i="1"/>
  <c r="C333" i="1"/>
  <c r="C334" i="1"/>
  <c r="C335" i="1"/>
  <c r="C340" i="1"/>
  <c r="C341" i="1"/>
  <c r="C352" i="1"/>
  <c r="C364" i="1"/>
  <c r="C366" i="1"/>
  <c r="C5" i="1"/>
  <c r="C6" i="1"/>
  <c r="C7" i="1"/>
  <c r="C8" i="1"/>
  <c r="C9" i="1"/>
  <c r="C10" i="1"/>
  <c r="K175" i="1" l="1"/>
  <c r="K151" i="1"/>
  <c r="K185" i="1"/>
  <c r="K172" i="1"/>
  <c r="K310" i="1"/>
  <c r="K73" i="1"/>
  <c r="K140" i="1"/>
  <c r="AC270" i="9"/>
  <c r="AC538" i="9"/>
  <c r="AC483" i="9"/>
  <c r="AC441" i="9"/>
  <c r="AC229" i="9"/>
  <c r="AC621" i="9"/>
  <c r="AC392" i="9"/>
  <c r="AC342" i="9"/>
  <c r="AC282" i="9"/>
  <c r="AC595" i="9"/>
  <c r="AC493" i="9"/>
  <c r="AC402" i="9"/>
  <c r="AC137" i="9"/>
  <c r="AC136" i="9"/>
  <c r="AC135" i="9"/>
  <c r="AC134" i="9"/>
  <c r="AC133" i="9"/>
  <c r="AC132" i="9"/>
  <c r="AC131" i="9"/>
  <c r="AC130" i="9"/>
  <c r="AC129" i="9"/>
  <c r="AC128" i="9"/>
  <c r="AC127" i="9"/>
  <c r="AC126" i="9"/>
  <c r="AC125" i="9"/>
  <c r="AC124" i="9"/>
  <c r="AC123" i="9"/>
  <c r="AC122" i="9"/>
  <c r="AC121" i="9"/>
  <c r="AC120" i="9"/>
  <c r="AC119" i="9"/>
  <c r="AC118" i="9"/>
  <c r="AC117" i="9"/>
  <c r="AC116" i="9"/>
  <c r="AC115" i="9"/>
  <c r="AC114" i="9"/>
  <c r="AC113" i="9"/>
  <c r="AC112" i="9"/>
  <c r="AC111" i="9"/>
  <c r="AC110" i="9"/>
  <c r="AC109" i="9"/>
  <c r="AC108" i="9"/>
  <c r="AC107" i="9"/>
  <c r="AC106" i="9"/>
  <c r="AC105" i="9"/>
  <c r="AC104" i="9"/>
  <c r="AC103" i="9"/>
  <c r="AC102" i="9"/>
  <c r="AC101" i="9"/>
  <c r="AC100" i="9"/>
  <c r="AC99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C5" i="9"/>
  <c r="AC499" i="9"/>
  <c r="AC328" i="9"/>
  <c r="AC602" i="9"/>
  <c r="AC675" i="9"/>
  <c r="AC478" i="9"/>
  <c r="AC574" i="9"/>
  <c r="AC226" i="9"/>
  <c r="AC649" i="9"/>
  <c r="AC530" i="9"/>
  <c r="AC416" i="9"/>
  <c r="AC546" i="9"/>
  <c r="AC269" i="9"/>
  <c r="AC258" i="9"/>
  <c r="AC462" i="9"/>
  <c r="AC256" i="9"/>
  <c r="AC637" i="9"/>
  <c r="AC578" i="9"/>
  <c r="AC459" i="9"/>
  <c r="AC688" i="9"/>
  <c r="AC653" i="9"/>
  <c r="AC326" i="9"/>
  <c r="AC655" i="9"/>
  <c r="AC281" i="9"/>
  <c r="AC671" i="9"/>
  <c r="AC625" i="9"/>
  <c r="AC474" i="9"/>
  <c r="AC640" i="9"/>
  <c r="AC434" i="9"/>
  <c r="AC183" i="9"/>
  <c r="AC366" i="9"/>
  <c r="AC352" i="9"/>
  <c r="AC480" i="9"/>
  <c r="AC287" i="9"/>
  <c r="AC249" i="9"/>
  <c r="AC650" i="9"/>
  <c r="AC502" i="9"/>
  <c r="AC689" i="9"/>
  <c r="AC319" i="9"/>
  <c r="AC320" i="9"/>
  <c r="AC322" i="9"/>
  <c r="AC321" i="9"/>
  <c r="AC384" i="9"/>
  <c r="AC624" i="9"/>
  <c r="AC232" i="9"/>
  <c r="AC448" i="9"/>
  <c r="AC362" i="9"/>
  <c r="AC357" i="9"/>
  <c r="AC577" i="9"/>
  <c r="AC248" i="9"/>
  <c r="AC349" i="9"/>
  <c r="AC494" i="9"/>
  <c r="AC440" i="9"/>
  <c r="AC604" i="9"/>
  <c r="AC216" i="9"/>
  <c r="AC481" i="9"/>
  <c r="AC423" i="9"/>
  <c r="AC590" i="9"/>
  <c r="AC283" i="9"/>
  <c r="AC255" i="9"/>
  <c r="AC586" i="9"/>
  <c r="AC378" i="9"/>
  <c r="AC426" i="9"/>
  <c r="AC693" i="9"/>
  <c r="AC465" i="9"/>
  <c r="AC225" i="9"/>
  <c r="AC521" i="9"/>
  <c r="AC437" i="9"/>
  <c r="AC463" i="9"/>
  <c r="AC442" i="9"/>
  <c r="AC313" i="9"/>
  <c r="AC375" i="9"/>
  <c r="AC638" i="9"/>
  <c r="AC557" i="9"/>
  <c r="AC307" i="9"/>
  <c r="AC567" i="9"/>
  <c r="AC504" i="9"/>
  <c r="AC267" i="9"/>
  <c r="AC545" i="9"/>
  <c r="AC627" i="9"/>
  <c r="AC676" i="9"/>
  <c r="AC471" i="9"/>
  <c r="AC500" i="9"/>
  <c r="AC419" i="9"/>
  <c r="AC678" i="9"/>
  <c r="AC512" i="9"/>
  <c r="AC563" i="9"/>
  <c r="AC654" i="9"/>
  <c r="AC304" i="9"/>
  <c r="AC626" i="9"/>
  <c r="AC253" i="9"/>
  <c r="AC252" i="9"/>
  <c r="AC254" i="9"/>
  <c r="AC537" i="9"/>
  <c r="AC464" i="9"/>
  <c r="AC630" i="9"/>
  <c r="AC679" i="9"/>
  <c r="AC395" i="9"/>
  <c r="AC677" i="9"/>
  <c r="AC461" i="9"/>
  <c r="AC325" i="9"/>
  <c r="AC276" i="9"/>
  <c r="AC644" i="9"/>
  <c r="AC698" i="9"/>
  <c r="AC403" i="9"/>
  <c r="AC181" i="9"/>
  <c r="AC235" i="9"/>
  <c r="AC211" i="9"/>
  <c r="AC387" i="9"/>
  <c r="AC198" i="9"/>
  <c r="AC234" i="9"/>
  <c r="AC686" i="9"/>
  <c r="AC205" i="9"/>
  <c r="AC194" i="9"/>
  <c r="AC551" i="9"/>
  <c r="AC548" i="9"/>
  <c r="AC547" i="9"/>
  <c r="AC404" i="9"/>
  <c r="AC628" i="9"/>
  <c r="AC532" i="9"/>
  <c r="AC587" i="9"/>
  <c r="AC296" i="9"/>
  <c r="AC290" i="9"/>
  <c r="AC511" i="9"/>
  <c r="AC297" i="9"/>
  <c r="AC289" i="9"/>
  <c r="AC528" i="9"/>
  <c r="AC401" i="9"/>
  <c r="AC323" i="9"/>
  <c r="AC517" i="9"/>
  <c r="AC680" i="9"/>
  <c r="AC327" i="9"/>
  <c r="AC451" i="9"/>
  <c r="AC215" i="9"/>
  <c r="AC302" i="9"/>
  <c r="AC696" i="9"/>
  <c r="AC636" i="9"/>
  <c r="AC210" i="9"/>
  <c r="AC186" i="9"/>
  <c r="AC519" i="9"/>
  <c r="AC584" i="9"/>
  <c r="AC394" i="9"/>
  <c r="AC585" i="9"/>
  <c r="AC523" i="9"/>
  <c r="AC542" i="9"/>
  <c r="AC583" i="9"/>
  <c r="AC697" i="9"/>
  <c r="AC522" i="9"/>
  <c r="AC582" i="9"/>
  <c r="AC694" i="9"/>
  <c r="AC606" i="9"/>
  <c r="AC605" i="9"/>
  <c r="AC572" i="9"/>
  <c r="AC514" i="9"/>
  <c r="AC358" i="9"/>
  <c r="AC535" i="9"/>
  <c r="AC662" i="9"/>
  <c r="AC397" i="9"/>
  <c r="AC431" i="9"/>
  <c r="AC593" i="9"/>
  <c r="AC594" i="9"/>
  <c r="AC231" i="9"/>
  <c r="AC513" i="9"/>
  <c r="AC399" i="9"/>
  <c r="AC396" i="9"/>
  <c r="AC455" i="9"/>
  <c r="AC580" i="9"/>
  <c r="AC196" i="9"/>
  <c r="AC334" i="9"/>
  <c r="AC552" i="9"/>
  <c r="AC309" i="9"/>
  <c r="AC418" i="9"/>
  <c r="AC178" i="9"/>
  <c r="AC243" i="9"/>
  <c r="AC277" i="9"/>
  <c r="AC365" i="9"/>
  <c r="AC613" i="9"/>
  <c r="AC615" i="9"/>
  <c r="AC618" i="9"/>
  <c r="AC660" i="9"/>
  <c r="AC622" i="9"/>
  <c r="AC278" i="9"/>
  <c r="AC268" i="9"/>
  <c r="AC439" i="9"/>
  <c r="AC217" i="9"/>
  <c r="AC487" i="9"/>
  <c r="AC449" i="9"/>
  <c r="AC400" i="9"/>
  <c r="AC612" i="9"/>
  <c r="AC299" i="9"/>
  <c r="AC477" i="9"/>
  <c r="AC691" i="9"/>
  <c r="AC656" i="9"/>
  <c r="AC427" i="9"/>
  <c r="AC329" i="9"/>
  <c r="AC505" i="9"/>
  <c r="AC291" i="9"/>
  <c r="AC488" i="9"/>
  <c r="AC673" i="9"/>
  <c r="AC482" i="9"/>
  <c r="AC554" i="9"/>
  <c r="AC187" i="9"/>
  <c r="AC556" i="9"/>
  <c r="AC391" i="9"/>
  <c r="AC315" i="9"/>
  <c r="AC324" i="9"/>
  <c r="AC444" i="9"/>
  <c r="AC308" i="9"/>
  <c r="AC617" i="9"/>
  <c r="AC381" i="9"/>
  <c r="AC237" i="9"/>
  <c r="AC310" i="9"/>
  <c r="AC199" i="9"/>
  <c r="AC240" i="9"/>
  <c r="AC570" i="9"/>
  <c r="AC665" i="9"/>
  <c r="AC263" i="9"/>
  <c r="AC184" i="9"/>
  <c r="AC273" i="9"/>
  <c r="AC648" i="9"/>
  <c r="AC333" i="9"/>
  <c r="AC238" i="9"/>
  <c r="AC634" i="9"/>
  <c r="AC616" i="9"/>
  <c r="AC611" i="9"/>
  <c r="AC174" i="9"/>
  <c r="AC332" i="9"/>
  <c r="AC312" i="9"/>
  <c r="AC641" i="9"/>
  <c r="AC664" i="9"/>
  <c r="AC424" i="9"/>
  <c r="AC473" i="9"/>
  <c r="AC541" i="9"/>
  <c r="AC348" i="9"/>
  <c r="AC562" i="9"/>
  <c r="AC479" i="9"/>
  <c r="AC632" i="9"/>
  <c r="AC558" i="9"/>
  <c r="AC360" i="9"/>
  <c r="AC421" i="9"/>
  <c r="AC620" i="9"/>
  <c r="AC279" i="9"/>
  <c r="AC303" i="9"/>
  <c r="AC469" i="9"/>
  <c r="AC667" i="9"/>
  <c r="AC206" i="9"/>
  <c r="AC561" i="9"/>
  <c r="AC265" i="9"/>
  <c r="AC663" i="9"/>
  <c r="AC369" i="9"/>
  <c r="AC657" i="9"/>
  <c r="AC524" i="9"/>
  <c r="AC305" i="9"/>
  <c r="AC191" i="9"/>
  <c r="AC607" i="9"/>
  <c r="AC275" i="9"/>
  <c r="AC264" i="9"/>
  <c r="AC368" i="9"/>
  <c r="AC564" i="9"/>
  <c r="AC346" i="9"/>
  <c r="AC472" i="9"/>
  <c r="AC588" i="9"/>
  <c r="AC576" i="9"/>
  <c r="AC646" i="9"/>
  <c r="AC213" i="9"/>
  <c r="AC233" i="9"/>
  <c r="AC250" i="9"/>
  <c r="AC379" i="9"/>
  <c r="AC566" i="9"/>
  <c r="AC652" i="9"/>
  <c r="AC356" i="9"/>
  <c r="AC516" i="9"/>
  <c r="AC236" i="9"/>
  <c r="AC318" i="9"/>
  <c r="AC540" i="9"/>
  <c r="AC417" i="9"/>
  <c r="AC573" i="9"/>
  <c r="AC343" i="9"/>
  <c r="AC467" i="9"/>
  <c r="AC245" i="9"/>
  <c r="AC446" i="9"/>
  <c r="AC207" i="9"/>
  <c r="AC208" i="9"/>
  <c r="AC288" i="9"/>
  <c r="AC177" i="9"/>
  <c r="AC239" i="9"/>
  <c r="AC458" i="9"/>
  <c r="AC466" i="9"/>
  <c r="AC603" i="9"/>
  <c r="AC398" i="9"/>
  <c r="AC382" i="9"/>
  <c r="AC301" i="9"/>
  <c r="AC355" i="9"/>
  <c r="AC367" i="9"/>
  <c r="AC353" i="9"/>
  <c r="AC363" i="9"/>
  <c r="AC300" i="9"/>
  <c r="AC261" i="9"/>
  <c r="AC376" i="9"/>
  <c r="AC669" i="9"/>
  <c r="AC411" i="9"/>
  <c r="AC666" i="9"/>
  <c r="AC565" i="9"/>
  <c r="AC285" i="9"/>
  <c r="AC531" i="9"/>
  <c r="AC372" i="9"/>
  <c r="AC373" i="9"/>
  <c r="AC377" i="9"/>
  <c r="AC330" i="9"/>
  <c r="AC202" i="9"/>
  <c r="AC407" i="9"/>
  <c r="AC354" i="9"/>
  <c r="AC647" i="9"/>
  <c r="AC393" i="9"/>
  <c r="AC682" i="9"/>
  <c r="AC639" i="9"/>
  <c r="AC284" i="9"/>
  <c r="AC317" i="9"/>
  <c r="AC409" i="9"/>
  <c r="AC338" i="9"/>
  <c r="AC559" i="9"/>
  <c r="AC491" i="9"/>
  <c r="AC212" i="9"/>
  <c r="AC410" i="9"/>
  <c r="AC476" i="9"/>
  <c r="AC383" i="9"/>
  <c r="AC651" i="9"/>
  <c r="AC193" i="9"/>
  <c r="AC683" i="9"/>
  <c r="AC266" i="9"/>
  <c r="AC692" i="9"/>
  <c r="AC242" i="9"/>
  <c r="AC453" i="9"/>
  <c r="AC485" i="9"/>
  <c r="AC260" i="9"/>
  <c r="AC430" i="9"/>
  <c r="AC241" i="9"/>
  <c r="AC457" i="9"/>
  <c r="AC475" i="9"/>
  <c r="AC549" i="9"/>
  <c r="AC298" i="9"/>
  <c r="AC262" i="9"/>
  <c r="AC388" i="9"/>
  <c r="AC179" i="9"/>
  <c r="AC484" i="9"/>
  <c r="AC670" i="9"/>
  <c r="AC501" i="9"/>
  <c r="AC271" i="9"/>
  <c r="AC203" i="9"/>
  <c r="AC470" i="9"/>
  <c r="AC336" i="9"/>
  <c r="AC185" i="9"/>
  <c r="AC247" i="9"/>
  <c r="AC339" i="9"/>
  <c r="AC596" i="9"/>
  <c r="AC257" i="9"/>
  <c r="AC681" i="9"/>
  <c r="AC438" i="9"/>
  <c r="AC335" i="9"/>
  <c r="AC344" i="9"/>
  <c r="AC515" i="9"/>
  <c r="AC221" i="9"/>
  <c r="AC371" i="9"/>
  <c r="AC599" i="9"/>
  <c r="AC598" i="9"/>
  <c r="AC432" i="9"/>
  <c r="AC341" i="9"/>
  <c r="AC685" i="9"/>
  <c r="AC600" i="9"/>
  <c r="AC190" i="9"/>
  <c r="AC380" i="9"/>
  <c r="AC553" i="9"/>
  <c r="AC390" i="9"/>
  <c r="AC543" i="9"/>
  <c r="AC518" i="9"/>
  <c r="AC503" i="9"/>
  <c r="AC645" i="9"/>
  <c r="AC460" i="9"/>
  <c r="AC311" i="9"/>
  <c r="AC508" i="9"/>
  <c r="AC350" i="9"/>
  <c r="AC351" i="9"/>
  <c r="AC643" i="9"/>
  <c r="AC695" i="9"/>
  <c r="AC274" i="9"/>
  <c r="AC506" i="9"/>
  <c r="AC428" i="9"/>
  <c r="AC230" i="9"/>
  <c r="AC227" i="9"/>
  <c r="AC316" i="9"/>
  <c r="AC658" i="9"/>
  <c r="AC492" i="9"/>
  <c r="AC690" i="9"/>
  <c r="AC534" i="9"/>
  <c r="AC575" i="9"/>
  <c r="AC468" i="9"/>
  <c r="AC533" i="9"/>
  <c r="AC412" i="9"/>
  <c r="AC635" i="9"/>
  <c r="AC619" i="9"/>
  <c r="AC364" i="9"/>
  <c r="AC385" i="9"/>
  <c r="AC509" i="9"/>
  <c r="AC456" i="9"/>
  <c r="AC569" i="9"/>
  <c r="AC672" i="9"/>
  <c r="AC629" i="9"/>
  <c r="AC292" i="9"/>
  <c r="AC345" i="9"/>
  <c r="AC413" i="9"/>
  <c r="AC454" i="9"/>
  <c r="K54" i="1"/>
  <c r="K116" i="1"/>
  <c r="K354" i="1"/>
  <c r="K336" i="1"/>
  <c r="K97" i="1"/>
  <c r="K56" i="1"/>
  <c r="K311" i="1"/>
  <c r="K63" i="1"/>
  <c r="K262" i="1"/>
  <c r="K260" i="1"/>
  <c r="K281" i="1"/>
  <c r="K247" i="1"/>
  <c r="K52" i="1"/>
  <c r="K94" i="1"/>
  <c r="K160" i="1"/>
  <c r="K228" i="1"/>
  <c r="K357" i="1"/>
  <c r="K31" i="1"/>
  <c r="K300" i="1"/>
  <c r="K339" i="1"/>
  <c r="K23" i="1"/>
  <c r="K303" i="1"/>
  <c r="K117" i="1"/>
  <c r="K253" i="1"/>
  <c r="K320" i="1"/>
  <c r="K197" i="1"/>
  <c r="K277" i="1"/>
  <c r="K232" i="1"/>
  <c r="K343" i="1"/>
  <c r="K256" i="1"/>
  <c r="K11" i="1"/>
  <c r="K234" i="1"/>
  <c r="K196" i="1"/>
  <c r="K190" i="1"/>
  <c r="K323" i="1"/>
  <c r="K84" i="1"/>
  <c r="K240" i="1"/>
  <c r="K193" i="1"/>
  <c r="K266" i="1"/>
  <c r="K108" i="1"/>
  <c r="K155" i="1"/>
  <c r="K195" i="1"/>
  <c r="K86" i="1"/>
  <c r="K211" i="1"/>
  <c r="K289" i="1"/>
  <c r="K78" i="1"/>
  <c r="K217" i="1"/>
  <c r="K121" i="1"/>
  <c r="K132" i="1"/>
  <c r="K134" i="1"/>
  <c r="K166" i="1"/>
  <c r="K350" i="1"/>
  <c r="K287" i="1"/>
  <c r="K47" i="1"/>
  <c r="K243" i="1"/>
  <c r="K220" i="1"/>
  <c r="K318" i="1"/>
  <c r="K150" i="1"/>
  <c r="K93" i="1"/>
  <c r="K235" i="1"/>
  <c r="K122" i="1"/>
  <c r="K254" i="1"/>
  <c r="K18" i="1"/>
  <c r="K176" i="1"/>
  <c r="K205" i="1"/>
  <c r="K99" i="1"/>
  <c r="K284" i="1"/>
  <c r="K338" i="1"/>
  <c r="K101" i="1"/>
  <c r="K252" i="1"/>
  <c r="K272" i="1"/>
  <c r="K102" i="1"/>
  <c r="K87" i="1"/>
  <c r="K60" i="1"/>
  <c r="K298" i="1"/>
  <c r="K38" i="1"/>
  <c r="K21" i="1"/>
  <c r="K214" i="1"/>
  <c r="K267" i="1"/>
  <c r="K330" i="1"/>
  <c r="K358" i="1"/>
  <c r="K92" i="1"/>
  <c r="K75" i="1"/>
  <c r="K321" i="1"/>
  <c r="K141" i="1"/>
  <c r="K143" i="1"/>
  <c r="K80" i="1"/>
  <c r="K182" i="1"/>
  <c r="K306" i="1"/>
  <c r="K144" i="1"/>
  <c r="K19" i="1"/>
  <c r="K91" i="1"/>
  <c r="K244" i="1"/>
  <c r="K187" i="1"/>
  <c r="K183" i="1"/>
  <c r="K304" i="1"/>
  <c r="K201" i="1"/>
  <c r="K162" i="1"/>
  <c r="K130" i="1"/>
  <c r="K198" i="1"/>
  <c r="K119" i="1"/>
  <c r="K216" i="1"/>
  <c r="K218" i="1"/>
  <c r="K278" i="1"/>
  <c r="K319" i="1"/>
  <c r="K274" i="1"/>
  <c r="K261" i="1"/>
  <c r="K33" i="1"/>
  <c r="K153" i="1"/>
  <c r="K342" i="1"/>
  <c r="K348" i="1"/>
  <c r="K123" i="1"/>
  <c r="K139" i="1"/>
  <c r="K103" i="1"/>
  <c r="K365" i="1"/>
  <c r="K227" i="1"/>
  <c r="K349" i="1"/>
  <c r="K118" i="1"/>
  <c r="K55" i="1"/>
  <c r="K79" i="1"/>
  <c r="K186" i="1"/>
  <c r="K202" i="1"/>
  <c r="K207" i="1"/>
  <c r="K327" i="1"/>
  <c r="K85" i="1"/>
  <c r="K177" i="1"/>
  <c r="K204" i="1"/>
  <c r="K131" i="1"/>
  <c r="K157" i="1"/>
  <c r="K237" i="1"/>
  <c r="K98" i="1"/>
  <c r="K173" i="1"/>
  <c r="K194" i="1"/>
  <c r="K42" i="1"/>
  <c r="K224" i="1"/>
  <c r="K200" i="1"/>
  <c r="K314" i="1"/>
  <c r="K12" i="1"/>
  <c r="K347" i="1"/>
  <c r="K325" i="1"/>
  <c r="K230" i="1"/>
  <c r="K268" i="1"/>
  <c r="K168" i="1"/>
  <c r="K127" i="1"/>
  <c r="K344" i="1"/>
  <c r="K145" i="1"/>
  <c r="K249" i="1"/>
  <c r="K363" i="1"/>
  <c r="K88" i="1"/>
  <c r="K359" i="1"/>
  <c r="K129" i="1"/>
  <c r="K109" i="1"/>
  <c r="K276" i="1"/>
  <c r="K282" i="1"/>
  <c r="K219" i="1"/>
  <c r="K192" i="1"/>
  <c r="K328" i="1"/>
  <c r="K142" i="1"/>
  <c r="K315" i="1"/>
  <c r="K22" i="1"/>
  <c r="K82" i="1"/>
  <c r="K191" i="1"/>
  <c r="K69" i="1"/>
  <c r="K332" i="1"/>
  <c r="K326" i="1"/>
  <c r="K106" i="1"/>
  <c r="K329" i="1"/>
  <c r="K255" i="1"/>
  <c r="K72" i="1"/>
  <c r="K152" i="1"/>
  <c r="K16" i="1"/>
  <c r="K293" i="1"/>
  <c r="K317" i="1"/>
  <c r="K169" i="1"/>
  <c r="K158" i="1"/>
  <c r="K279" i="1"/>
  <c r="K163" i="1"/>
  <c r="K107" i="1"/>
  <c r="K294" i="1"/>
  <c r="K355" i="1"/>
  <c r="K199" i="1"/>
  <c r="K362" i="1"/>
  <c r="K367" i="1"/>
  <c r="K270" i="1"/>
  <c r="K13" i="1"/>
  <c r="K17" i="1"/>
  <c r="K20" i="1"/>
  <c r="K25" i="1"/>
  <c r="K28" i="1"/>
  <c r="K29" i="1"/>
  <c r="K32" i="1"/>
  <c r="K34" i="1"/>
  <c r="K36" i="1"/>
  <c r="K37" i="1"/>
  <c r="K39" i="1"/>
  <c r="K40" i="1"/>
  <c r="K43" i="1"/>
  <c r="K44" i="1"/>
  <c r="K46" i="1"/>
  <c r="K48" i="1"/>
  <c r="K64" i="1"/>
  <c r="K65" i="1"/>
  <c r="K71" i="1"/>
  <c r="K74" i="1"/>
  <c r="K104" i="1"/>
  <c r="K111" i="1"/>
  <c r="K113" i="1"/>
  <c r="K114" i="1"/>
  <c r="K115" i="1"/>
  <c r="K120" i="1"/>
  <c r="K126" i="1"/>
  <c r="K133" i="1"/>
  <c r="K135" i="1"/>
  <c r="K137" i="1"/>
  <c r="K149" i="1"/>
  <c r="K154" i="1"/>
  <c r="K156" i="1"/>
  <c r="K159" i="1"/>
  <c r="K165" i="1"/>
  <c r="K167" i="1"/>
  <c r="K170" i="1"/>
  <c r="K189" i="1"/>
  <c r="K208" i="1"/>
  <c r="K212" i="1"/>
  <c r="K222" i="1"/>
  <c r="K223" i="1"/>
  <c r="K229" i="1"/>
  <c r="K231" i="1"/>
  <c r="K238" i="1"/>
  <c r="K239" i="1"/>
  <c r="K241" i="1"/>
  <c r="K242" i="1"/>
  <c r="K245" i="1"/>
  <c r="K251" i="1"/>
  <c r="K257" i="1"/>
  <c r="K259" i="1"/>
  <c r="K263" i="1"/>
  <c r="K264" i="1"/>
  <c r="K271" i="1"/>
  <c r="K273" i="1"/>
  <c r="K275" i="1"/>
  <c r="K286" i="1"/>
  <c r="K288" i="1"/>
  <c r="K290" i="1"/>
  <c r="K292" i="1"/>
  <c r="K297" i="1"/>
  <c r="K299" i="1"/>
  <c r="K301" i="1"/>
  <c r="K302" i="1"/>
  <c r="K305" i="1"/>
  <c r="K312" i="1"/>
  <c r="K6" i="1"/>
  <c r="K7" i="1"/>
  <c r="K324" i="1"/>
  <c r="K333" i="1"/>
  <c r="K334" i="1"/>
  <c r="K335" i="1"/>
  <c r="K340" i="1"/>
  <c r="K341" i="1"/>
  <c r="K352" i="1"/>
  <c r="K364" i="1"/>
  <c r="K366" i="1"/>
  <c r="K8" i="1"/>
  <c r="K9" i="1"/>
  <c r="K5" i="1"/>
  <c r="K10" i="1"/>
</calcChain>
</file>

<file path=xl/sharedStrings.xml><?xml version="1.0" encoding="utf-8"?>
<sst xmlns="http://schemas.openxmlformats.org/spreadsheetml/2006/main" count="19494" uniqueCount="1558">
  <si>
    <t>Greenwood</t>
  </si>
  <si>
    <t>Billings</t>
  </si>
  <si>
    <t>Silverton</t>
  </si>
  <si>
    <t>Olson</t>
  </si>
  <si>
    <t>Shirley</t>
  </si>
  <si>
    <t>Duncan</t>
  </si>
  <si>
    <t>Gordon</t>
  </si>
  <si>
    <t>Munro</t>
  </si>
  <si>
    <t>Sidney</t>
  </si>
  <si>
    <t>Donald</t>
  </si>
  <si>
    <t>Graham</t>
  </si>
  <si>
    <t>Walker</t>
  </si>
  <si>
    <t>Kent</t>
  </si>
  <si>
    <t>Roy</t>
  </si>
  <si>
    <t>Foster</t>
  </si>
  <si>
    <t>Snyder</t>
  </si>
  <si>
    <t>Taylor</t>
  </si>
  <si>
    <t>Smith</t>
  </si>
  <si>
    <t>Barnes</t>
  </si>
  <si>
    <t>Elsie</t>
  </si>
  <si>
    <t>Mallumut</t>
  </si>
  <si>
    <t>Beauty</t>
  </si>
  <si>
    <t>Unitarian Church pastor</t>
  </si>
  <si>
    <t>Hank</t>
  </si>
  <si>
    <t>Blueboy</t>
  </si>
  <si>
    <t>Jason</t>
  </si>
  <si>
    <t>Melissa</t>
  </si>
  <si>
    <t>Raina</t>
  </si>
  <si>
    <t>Kallie</t>
  </si>
  <si>
    <t>Jen</t>
  </si>
  <si>
    <t>Ann</t>
  </si>
  <si>
    <t>Fiona</t>
  </si>
  <si>
    <t>Robert</t>
  </si>
  <si>
    <t>Anne-Marie</t>
  </si>
  <si>
    <t>Claire</t>
  </si>
  <si>
    <t>Pat</t>
  </si>
  <si>
    <t>Russ</t>
  </si>
  <si>
    <t>Alan</t>
  </si>
  <si>
    <t>Alec</t>
  </si>
  <si>
    <t>Andrea</t>
  </si>
  <si>
    <t>Annette</t>
  </si>
  <si>
    <t>Ariel</t>
  </si>
  <si>
    <t>Bob</t>
  </si>
  <si>
    <t>Bonnie</t>
  </si>
  <si>
    <t>brad</t>
  </si>
  <si>
    <t>Don's cousin's husband</t>
  </si>
  <si>
    <t>Eunice</t>
  </si>
  <si>
    <t>Everett</t>
  </si>
  <si>
    <t>Georgia</t>
  </si>
  <si>
    <t>Harry</t>
  </si>
  <si>
    <t>James</t>
  </si>
  <si>
    <t>Janice</t>
  </si>
  <si>
    <t>Jerry</t>
  </si>
  <si>
    <t>Mahia</t>
  </si>
  <si>
    <t>Marilyn</t>
  </si>
  <si>
    <t>Marlin</t>
  </si>
  <si>
    <t>Michael</t>
  </si>
  <si>
    <t>Michaela</t>
  </si>
  <si>
    <t>Mickey</t>
  </si>
  <si>
    <t>Phaedra</t>
  </si>
  <si>
    <t>Phyllis</t>
  </si>
  <si>
    <t>Previous Ship Hostess</t>
  </si>
  <si>
    <t>Rita</t>
  </si>
  <si>
    <t>Rob</t>
  </si>
  <si>
    <t>Robin</t>
  </si>
  <si>
    <t>Rosemary</t>
  </si>
  <si>
    <t>Sam</t>
  </si>
  <si>
    <t>Sarah</t>
  </si>
  <si>
    <t>Sleazebag Entertainment Director</t>
  </si>
  <si>
    <t>Tammie</t>
  </si>
  <si>
    <t>Trevor</t>
  </si>
  <si>
    <t>Wes</t>
  </si>
  <si>
    <t>Winnie</t>
  </si>
  <si>
    <t>First Name</t>
  </si>
  <si>
    <t>Last Name</t>
  </si>
  <si>
    <t>Middle Name</t>
  </si>
  <si>
    <t>Date - Birth</t>
  </si>
  <si>
    <t>Date - Marriage</t>
  </si>
  <si>
    <t>Date - Death</t>
  </si>
  <si>
    <t>Family</t>
  </si>
  <si>
    <t>Aaron</t>
  </si>
  <si>
    <t>Al</t>
  </si>
  <si>
    <t>Andrew</t>
  </si>
  <si>
    <t>Angela</t>
  </si>
  <si>
    <t>April</t>
  </si>
  <si>
    <t>Aven</t>
  </si>
  <si>
    <t>Birgit</t>
  </si>
  <si>
    <t>Blenkinsop</t>
  </si>
  <si>
    <t>Brent</t>
  </si>
  <si>
    <t>Brij</t>
  </si>
  <si>
    <t>Caleb</t>
  </si>
  <si>
    <t>Carol</t>
  </si>
  <si>
    <t>Carolyn</t>
  </si>
  <si>
    <t>Catherine</t>
  </si>
  <si>
    <t>Charles</t>
  </si>
  <si>
    <t>Charlie</t>
  </si>
  <si>
    <t>Chris</t>
  </si>
  <si>
    <t>Clifton</t>
  </si>
  <si>
    <t>Colton</t>
  </si>
  <si>
    <t>Cookie</t>
  </si>
  <si>
    <t>Corey</t>
  </si>
  <si>
    <t>Curtis</t>
  </si>
  <si>
    <t>Dana</t>
  </si>
  <si>
    <t>Danielle</t>
  </si>
  <si>
    <t>Darren</t>
  </si>
  <si>
    <t>Dave</t>
  </si>
  <si>
    <t>David</t>
  </si>
  <si>
    <t>Debbie</t>
  </si>
  <si>
    <t>Debora</t>
  </si>
  <si>
    <t>Deborah</t>
  </si>
  <si>
    <t>Denise</t>
  </si>
  <si>
    <t>Diane</t>
  </si>
  <si>
    <t>Dirk</t>
  </si>
  <si>
    <t>Dolores</t>
  </si>
  <si>
    <t>Don</t>
  </si>
  <si>
    <t>Dustin</t>
  </si>
  <si>
    <t>Ed</t>
  </si>
  <si>
    <t>Eleanor</t>
  </si>
  <si>
    <t>Elena</t>
  </si>
  <si>
    <t>Elizabeth</t>
  </si>
  <si>
    <t>Ellie</t>
  </si>
  <si>
    <t>Fran</t>
  </si>
  <si>
    <t>Fred</t>
  </si>
  <si>
    <t>Gail</t>
  </si>
  <si>
    <t>Garth</t>
  </si>
  <si>
    <t>Gavin</t>
  </si>
  <si>
    <t>Gene</t>
  </si>
  <si>
    <t>Geoff</t>
  </si>
  <si>
    <t>George</t>
  </si>
  <si>
    <t>Gillian</t>
  </si>
  <si>
    <t>Glenn</t>
  </si>
  <si>
    <t>Gloria</t>
  </si>
  <si>
    <t>Glynis</t>
  </si>
  <si>
    <t>Gord</t>
  </si>
  <si>
    <t>Grant</t>
  </si>
  <si>
    <t>Helen</t>
  </si>
  <si>
    <t>Hew</t>
  </si>
  <si>
    <t>Hillary</t>
  </si>
  <si>
    <t>Hugh</t>
  </si>
  <si>
    <t>Ian</t>
  </si>
  <si>
    <t>Jamie</t>
  </si>
  <si>
    <t>Jann</t>
  </si>
  <si>
    <t>Jeff</t>
  </si>
  <si>
    <t>Jennifer</t>
  </si>
  <si>
    <t>Jenny</t>
  </si>
  <si>
    <t>Jim</t>
  </si>
  <si>
    <t>Joan</t>
  </si>
  <si>
    <t>Joe</t>
  </si>
  <si>
    <t>John</t>
  </si>
  <si>
    <t>Judy</t>
  </si>
  <si>
    <t>Jules</t>
  </si>
  <si>
    <t>Justin</t>
  </si>
  <si>
    <t>Kade</t>
  </si>
  <si>
    <t>Karen</t>
  </si>
  <si>
    <t>Katie</t>
  </si>
  <si>
    <t>Katy</t>
  </si>
  <si>
    <t>Ken</t>
  </si>
  <si>
    <t>Kevin</t>
  </si>
  <si>
    <t>Kezia</t>
  </si>
  <si>
    <t>Kisha</t>
  </si>
  <si>
    <t>Kristen</t>
  </si>
  <si>
    <t>Kyra</t>
  </si>
  <si>
    <t>Leanne</t>
  </si>
  <si>
    <t>Lee</t>
  </si>
  <si>
    <t>Leonard</t>
  </si>
  <si>
    <t>Leslie</t>
  </si>
  <si>
    <t>Likas</t>
  </si>
  <si>
    <t>Linda</t>
  </si>
  <si>
    <t>Lionel</t>
  </si>
  <si>
    <t>Liz</t>
  </si>
  <si>
    <t>lois</t>
  </si>
  <si>
    <t>Louise</t>
  </si>
  <si>
    <t>Lynn</t>
  </si>
  <si>
    <t>Madison</t>
  </si>
  <si>
    <t>Marcie</t>
  </si>
  <si>
    <t>Marianne</t>
  </si>
  <si>
    <t>Mark</t>
  </si>
  <si>
    <t>Marlee</t>
  </si>
  <si>
    <t>Mary</t>
  </si>
  <si>
    <t>Matthew</t>
  </si>
  <si>
    <t>Megan</t>
  </si>
  <si>
    <t>Melanie</t>
  </si>
  <si>
    <t>Mike</t>
  </si>
  <si>
    <t>Milo</t>
  </si>
  <si>
    <t>Miss</t>
  </si>
  <si>
    <t>Mrs</t>
  </si>
  <si>
    <t>Mrs George</t>
  </si>
  <si>
    <t>Nadya</t>
  </si>
  <si>
    <t>Nahid</t>
  </si>
  <si>
    <t>Nancy</t>
  </si>
  <si>
    <t>Nicholas</t>
  </si>
  <si>
    <t>Oz</t>
  </si>
  <si>
    <t>Pam</t>
  </si>
  <si>
    <t>Paul</t>
  </si>
  <si>
    <t>Peter</t>
  </si>
  <si>
    <t>Philip</t>
  </si>
  <si>
    <t>PJ</t>
  </si>
  <si>
    <t>Rhonda</t>
  </si>
  <si>
    <t>Richard</t>
  </si>
  <si>
    <t>Roger</t>
  </si>
  <si>
    <t>Ryan</t>
  </si>
  <si>
    <t>Sammi</t>
  </si>
  <si>
    <t>Sanda</t>
  </si>
  <si>
    <t>Shalina</t>
  </si>
  <si>
    <t>Shane</t>
  </si>
  <si>
    <t>Sheila</t>
  </si>
  <si>
    <t>Shelby</t>
  </si>
  <si>
    <t>Shemiya</t>
  </si>
  <si>
    <t>Sherry</t>
  </si>
  <si>
    <t>Shery</t>
  </si>
  <si>
    <t>Sid</t>
  </si>
  <si>
    <t>Simon</t>
  </si>
  <si>
    <t>Starr</t>
  </si>
  <si>
    <t>Stephen</t>
  </si>
  <si>
    <t>Steve</t>
  </si>
  <si>
    <t>Stonie</t>
  </si>
  <si>
    <t>Susan</t>
  </si>
  <si>
    <t>Suzanne</t>
  </si>
  <si>
    <t>Teresa</t>
  </si>
  <si>
    <t>Thomas</t>
  </si>
  <si>
    <t>Tim</t>
  </si>
  <si>
    <t>Tina</t>
  </si>
  <si>
    <t>Tom</t>
  </si>
  <si>
    <t>Torri</t>
  </si>
  <si>
    <t>Tracy</t>
  </si>
  <si>
    <t>Trent</t>
  </si>
  <si>
    <t>Tyson</t>
  </si>
  <si>
    <t>Val</t>
  </si>
  <si>
    <t>Vic</t>
  </si>
  <si>
    <t>Victor</t>
  </si>
  <si>
    <t>Wayne</t>
  </si>
  <si>
    <t>Wendy</t>
  </si>
  <si>
    <t>Wilbur</t>
  </si>
  <si>
    <t>William</t>
  </si>
  <si>
    <t>Alanya</t>
  </si>
  <si>
    <t>Amanda</t>
  </si>
  <si>
    <t>Amando</t>
  </si>
  <si>
    <t>Anna</t>
  </si>
  <si>
    <t>Annie</t>
  </si>
  <si>
    <t>Bethany</t>
  </si>
  <si>
    <t>Birdie</t>
  </si>
  <si>
    <t>Brenda</t>
  </si>
  <si>
    <t>Bryan</t>
  </si>
  <si>
    <t>Caroline</t>
  </si>
  <si>
    <t>Cecil</t>
  </si>
  <si>
    <t>Christopher</t>
  </si>
  <si>
    <t>Clare</t>
  </si>
  <si>
    <t>Coen</t>
  </si>
  <si>
    <t>Connie</t>
  </si>
  <si>
    <t>Dennis</t>
  </si>
  <si>
    <t>Edith</t>
  </si>
  <si>
    <t>Eileen</t>
  </si>
  <si>
    <t>Elias</t>
  </si>
  <si>
    <t>Eliza</t>
  </si>
  <si>
    <t>Els</t>
  </si>
  <si>
    <t>Emily</t>
  </si>
  <si>
    <t>Erica</t>
  </si>
  <si>
    <t>Galen</t>
  </si>
  <si>
    <t>Hansel</t>
  </si>
  <si>
    <t>Heidi</t>
  </si>
  <si>
    <t>Henry</t>
  </si>
  <si>
    <t>Irma</t>
  </si>
  <si>
    <t>Jaap</t>
  </si>
  <si>
    <t>Jean</t>
  </si>
  <si>
    <t>Jeffrey</t>
  </si>
  <si>
    <t>Jenna</t>
  </si>
  <si>
    <t>Kate</t>
  </si>
  <si>
    <t>Lara</t>
  </si>
  <si>
    <t>Liam</t>
  </si>
  <si>
    <t>Liav</t>
  </si>
  <si>
    <t>Marian</t>
  </si>
  <si>
    <t>Mitchell</t>
  </si>
  <si>
    <t>Mitzi</t>
  </si>
  <si>
    <t>Ninja</t>
  </si>
  <si>
    <t>Norman</t>
  </si>
  <si>
    <t>Pamela</t>
  </si>
  <si>
    <t>Patrica</t>
  </si>
  <si>
    <t>Rene</t>
  </si>
  <si>
    <t>Rhys</t>
  </si>
  <si>
    <t>Ribca</t>
  </si>
  <si>
    <t>Ronnie</t>
  </si>
  <si>
    <t>Rosa</t>
  </si>
  <si>
    <t>Ruth</t>
  </si>
  <si>
    <t>Samantha</t>
  </si>
  <si>
    <t>Sandra</t>
  </si>
  <si>
    <t>Sharon</t>
  </si>
  <si>
    <t>Shotsie</t>
  </si>
  <si>
    <t>Stormy</t>
  </si>
  <si>
    <t>Suzie</t>
  </si>
  <si>
    <t>Timothy</t>
  </si>
  <si>
    <t>Vaughn</t>
  </si>
  <si>
    <t>Violet</t>
  </si>
  <si>
    <t>Bennett</t>
  </si>
  <si>
    <t>Szczawinski</t>
  </si>
  <si>
    <t>Ernest</t>
  </si>
  <si>
    <t>Penner</t>
  </si>
  <si>
    <t>Forrester</t>
  </si>
  <si>
    <t>Sandberg</t>
  </si>
  <si>
    <t>Njume</t>
  </si>
  <si>
    <t>Watson</t>
  </si>
  <si>
    <t>Atkins</t>
  </si>
  <si>
    <t>Dawn</t>
  </si>
  <si>
    <t>Woods</t>
  </si>
  <si>
    <t>Winberg</t>
  </si>
  <si>
    <t>Enns</t>
  </si>
  <si>
    <t>Wardle</t>
  </si>
  <si>
    <t>Andrews</t>
  </si>
  <si>
    <t>Anne</t>
  </si>
  <si>
    <t>Stibbe</t>
  </si>
  <si>
    <t>neighbours</t>
  </si>
  <si>
    <t>Hunter</t>
  </si>
  <si>
    <t>Steele</t>
  </si>
  <si>
    <t>Barker</t>
  </si>
  <si>
    <t>Charan</t>
  </si>
  <si>
    <t>Heath</t>
  </si>
  <si>
    <t>Glover</t>
  </si>
  <si>
    <t>Lemay</t>
  </si>
  <si>
    <t>Valle</t>
  </si>
  <si>
    <t>Acs</t>
  </si>
  <si>
    <t>Sheard</t>
  </si>
  <si>
    <t>Carey</t>
  </si>
  <si>
    <t>Capezzuto</t>
  </si>
  <si>
    <t>Naylor</t>
  </si>
  <si>
    <t>Cann</t>
  </si>
  <si>
    <t>Webb</t>
  </si>
  <si>
    <t>Wiens</t>
  </si>
  <si>
    <t>Norris</t>
  </si>
  <si>
    <t>Byng</t>
  </si>
  <si>
    <t>Parsons</t>
  </si>
  <si>
    <t>Best</t>
  </si>
  <si>
    <t>Silvey</t>
  </si>
  <si>
    <t>Bowman</t>
  </si>
  <si>
    <t>Tory</t>
  </si>
  <si>
    <t>Mae</t>
  </si>
  <si>
    <t>Propster</t>
  </si>
  <si>
    <t>Nyland</t>
  </si>
  <si>
    <t>McKinney</t>
  </si>
  <si>
    <t>Loewen</t>
  </si>
  <si>
    <t>Miska</t>
  </si>
  <si>
    <t>Florence</t>
  </si>
  <si>
    <t>Morford</t>
  </si>
  <si>
    <t>Mulloy</t>
  </si>
  <si>
    <t>Schumaker</t>
  </si>
  <si>
    <t>Dight</t>
  </si>
  <si>
    <t>Woodworth</t>
  </si>
  <si>
    <t>Boisvert</t>
  </si>
  <si>
    <t>Margaret</t>
  </si>
  <si>
    <t>Bruce</t>
  </si>
  <si>
    <t>Aitkens</t>
  </si>
  <si>
    <t>Backhouse</t>
  </si>
  <si>
    <t>Shadian</t>
  </si>
  <si>
    <t>Ross</t>
  </si>
  <si>
    <t>Campbell</t>
  </si>
  <si>
    <t>McLeod</t>
  </si>
  <si>
    <t>Schnabel</t>
  </si>
  <si>
    <t>Bessell</t>
  </si>
  <si>
    <t>Thomas-Martin</t>
  </si>
  <si>
    <t>Rand</t>
  </si>
  <si>
    <t>Richman</t>
  </si>
  <si>
    <t>Patten</t>
  </si>
  <si>
    <t>Katharina</t>
  </si>
  <si>
    <t>Padmore</t>
  </si>
  <si>
    <t>Warren</t>
  </si>
  <si>
    <t>Pilkington</t>
  </si>
  <si>
    <t>Topic</t>
  </si>
  <si>
    <t>McKenzie</t>
  </si>
  <si>
    <t>Wigginton</t>
  </si>
  <si>
    <t>Boutillier</t>
  </si>
  <si>
    <t>Wood</t>
  </si>
  <si>
    <t>Richards</t>
  </si>
  <si>
    <t>Tedlie</t>
  </si>
  <si>
    <t>Woo</t>
  </si>
  <si>
    <t>Chapman</t>
  </si>
  <si>
    <t>Spencley</t>
  </si>
  <si>
    <t>Bailey</t>
  </si>
  <si>
    <t>Mills</t>
  </si>
  <si>
    <t>Sinclair</t>
  </si>
  <si>
    <t>Trott</t>
  </si>
  <si>
    <t>Peters</t>
  </si>
  <si>
    <t>Rapp</t>
  </si>
  <si>
    <t>R</t>
  </si>
  <si>
    <t>Blackett</t>
  </si>
  <si>
    <t>Stedman</t>
  </si>
  <si>
    <t>Bouvet</t>
  </si>
  <si>
    <t>Bergstrom</t>
  </si>
  <si>
    <t>Baskin</t>
  </si>
  <si>
    <t>Richter</t>
  </si>
  <si>
    <t>Yeats</t>
  </si>
  <si>
    <t>Supernant</t>
  </si>
  <si>
    <t>Reimer</t>
  </si>
  <si>
    <t>Grace</t>
  </si>
  <si>
    <t>Smedley</t>
  </si>
  <si>
    <t>Sielecki</t>
  </si>
  <si>
    <t>Gold</t>
  </si>
  <si>
    <t>Jane</t>
  </si>
  <si>
    <t>Cai</t>
  </si>
  <si>
    <t>Vickery</t>
  </si>
  <si>
    <t>Cole</t>
  </si>
  <si>
    <t>Summers</t>
  </si>
  <si>
    <t>Scott</t>
  </si>
  <si>
    <t>Bea</t>
  </si>
  <si>
    <t>Berger</t>
  </si>
  <si>
    <t>Close</t>
  </si>
  <si>
    <t>Proudfoot</t>
  </si>
  <si>
    <t>McKinnon</t>
  </si>
  <si>
    <t>Thorsel</t>
  </si>
  <si>
    <t>Young</t>
  </si>
  <si>
    <t>Moron</t>
  </si>
  <si>
    <t>Badiei-Arani</t>
  </si>
  <si>
    <t>Mcleod</t>
  </si>
  <si>
    <t>Whitely</t>
  </si>
  <si>
    <t>Bell</t>
  </si>
  <si>
    <t>Blackstone</t>
  </si>
  <si>
    <t>Salloway</t>
  </si>
  <si>
    <t>Lynne</t>
  </si>
  <si>
    <t>Zorn</t>
  </si>
  <si>
    <t>Moydl</t>
  </si>
  <si>
    <t>Sallaway</t>
  </si>
  <si>
    <t>Batt</t>
  </si>
  <si>
    <t>Chan</t>
  </si>
  <si>
    <t>Burns</t>
  </si>
  <si>
    <t>Wiles</t>
  </si>
  <si>
    <t>Wyatt</t>
  </si>
  <si>
    <t>Neering</t>
  </si>
  <si>
    <t>Dickson</t>
  </si>
  <si>
    <t>B</t>
  </si>
  <si>
    <t>Reed</t>
  </si>
  <si>
    <t>Pikikot</t>
  </si>
  <si>
    <t>Surrendra</t>
  </si>
  <si>
    <t>Waters</t>
  </si>
  <si>
    <t>Wilson</t>
  </si>
  <si>
    <t>McFarlane</t>
  </si>
  <si>
    <t>Rudd</t>
  </si>
  <si>
    <t>Owen</t>
  </si>
  <si>
    <t>Tafler</t>
  </si>
  <si>
    <t>Webster</t>
  </si>
  <si>
    <t>Weiss</t>
  </si>
  <si>
    <t>Bannerman</t>
  </si>
  <si>
    <t>Kathleen</t>
  </si>
  <si>
    <t>Moger</t>
  </si>
  <si>
    <t>Sankey</t>
  </si>
  <si>
    <t>Bed</t>
  </si>
  <si>
    <t>Szgatti</t>
  </si>
  <si>
    <t>Saxton</t>
  </si>
  <si>
    <t>Seale</t>
  </si>
  <si>
    <t>Cartlidge</t>
  </si>
  <si>
    <t>Austin</t>
  </si>
  <si>
    <t>Anderson</t>
  </si>
  <si>
    <t>Underwood</t>
  </si>
  <si>
    <t>Pearce</t>
  </si>
  <si>
    <t>Yee</t>
  </si>
  <si>
    <t>Ethelbert Purnell</t>
  </si>
  <si>
    <t>Edward Cyril</t>
  </si>
  <si>
    <t>del Valle</t>
  </si>
  <si>
    <t>Van Wijngaarden</t>
  </si>
  <si>
    <t>Von Kanel</t>
  </si>
  <si>
    <t>Married Names</t>
  </si>
  <si>
    <t>Nick Names</t>
  </si>
  <si>
    <t>Pitag Jr</t>
  </si>
  <si>
    <t>Nana</t>
  </si>
  <si>
    <t>Valerie</t>
  </si>
  <si>
    <t>Boppy</t>
  </si>
  <si>
    <t>Dana's Brother</t>
  </si>
  <si>
    <t>hair stylist</t>
  </si>
  <si>
    <t>Nana's Dog</t>
  </si>
  <si>
    <t>Nonnie</t>
  </si>
  <si>
    <t>Rhonda's Cousin?</t>
  </si>
  <si>
    <t>Rhys' Cat</t>
  </si>
  <si>
    <t>Rhys' Dog</t>
  </si>
  <si>
    <t>Richard Louis del valle</t>
  </si>
  <si>
    <t>The Cat</t>
  </si>
  <si>
    <t>Uncle Clare</t>
  </si>
  <si>
    <t>cat</t>
  </si>
  <si>
    <t>Friend</t>
  </si>
  <si>
    <t>friend</t>
  </si>
  <si>
    <t>neighbor</t>
  </si>
  <si>
    <t>Papa</t>
  </si>
  <si>
    <t>Boldt</t>
  </si>
  <si>
    <t>Lowden</t>
  </si>
  <si>
    <t>MacDonald</t>
  </si>
  <si>
    <t>Skinner</t>
  </si>
  <si>
    <t>Cliff</t>
  </si>
  <si>
    <t>Marie</t>
  </si>
  <si>
    <t>Hatherell</t>
  </si>
  <si>
    <t>Darryl</t>
  </si>
  <si>
    <t>Cathie</t>
  </si>
  <si>
    <t>Henrietta</t>
  </si>
  <si>
    <t>Douglas</t>
  </si>
  <si>
    <t>Jodie</t>
  </si>
  <si>
    <t>Pongracz</t>
  </si>
  <si>
    <t/>
  </si>
  <si>
    <t>McNeil</t>
  </si>
  <si>
    <t>Wedlake</t>
  </si>
  <si>
    <t>Noela's date</t>
  </si>
  <si>
    <t>Cynthia's friend</t>
  </si>
  <si>
    <t>drummer</t>
  </si>
  <si>
    <t>Rhys friend</t>
  </si>
  <si>
    <t>Title</t>
  </si>
  <si>
    <t>Ship Captain</t>
  </si>
  <si>
    <t>Ship Hostess</t>
  </si>
  <si>
    <t>Mission</t>
  </si>
  <si>
    <t>Canada</t>
  </si>
  <si>
    <t>CAN</t>
  </si>
  <si>
    <t>Penner Avenue</t>
  </si>
  <si>
    <t>British Columbia</t>
  </si>
  <si>
    <t>Victoria</t>
  </si>
  <si>
    <t>1285 Boulderpath Road</t>
  </si>
  <si>
    <t>Beacon Hill Park</t>
  </si>
  <si>
    <t>Neild Road Radar Tower</t>
  </si>
  <si>
    <t>986 Weaver Place</t>
  </si>
  <si>
    <t>2723 Peatt Road [Peter Zorn]</t>
  </si>
  <si>
    <t>330 Damon Drive [Aunt Trish]</t>
  </si>
  <si>
    <t>Romeos</t>
  </si>
  <si>
    <t>Vancouver</t>
  </si>
  <si>
    <t>Dr. Sun Yat-Sen Classical Chinese Garden</t>
  </si>
  <si>
    <t>1229 Alan Road</t>
  </si>
  <si>
    <t>Burnaby</t>
  </si>
  <si>
    <t>7216 Kitchener</t>
  </si>
  <si>
    <t>Simon Fraser University</t>
  </si>
  <si>
    <t>Mount Doug</t>
  </si>
  <si>
    <t>University of Victoria</t>
  </si>
  <si>
    <t>Perth</t>
  </si>
  <si>
    <t>Australia</t>
  </si>
  <si>
    <t>AUS</t>
  </si>
  <si>
    <t>7 Seventh Avenue</t>
  </si>
  <si>
    <t>Western Australia</t>
  </si>
  <si>
    <t>Squamish</t>
  </si>
  <si>
    <t>Stawamus Chief Provincial Park</t>
  </si>
  <si>
    <t>Britannia Beach</t>
  </si>
  <si>
    <t>Britannia Mine Museum</t>
  </si>
  <si>
    <t>Elk Lake</t>
  </si>
  <si>
    <t>Matheson Lake</t>
  </si>
  <si>
    <t>Victoria Paintball Adventures</t>
  </si>
  <si>
    <t>Sooke</t>
  </si>
  <si>
    <t>Sooke Potholes</t>
  </si>
  <si>
    <t>Layrtiz Park</t>
  </si>
  <si>
    <t>Coombs</t>
  </si>
  <si>
    <t>Butterfly Gardens</t>
  </si>
  <si>
    <t>Mill Bay</t>
  </si>
  <si>
    <t>Bamberton</t>
  </si>
  <si>
    <t>Coombs Market</t>
  </si>
  <si>
    <t>East Sooke</t>
  </si>
  <si>
    <t>East Sooke Park</t>
  </si>
  <si>
    <t>245 Ontario Street</t>
  </si>
  <si>
    <t>Mount Tolmie</t>
  </si>
  <si>
    <t>Parksville</t>
  </si>
  <si>
    <t>Tigh Na Mara</t>
  </si>
  <si>
    <t>Blinkhorn Lake</t>
  </si>
  <si>
    <t>Hatley Memorial Gardens</t>
  </si>
  <si>
    <t>Thunderbird Park</t>
  </si>
  <si>
    <t>Comox</t>
  </si>
  <si>
    <t>Tee Pee Park Campground and Airforce Beach</t>
  </si>
  <si>
    <t>Lake Cowichan</t>
  </si>
  <si>
    <t>Roger's Place</t>
  </si>
  <si>
    <t>Little River</t>
  </si>
  <si>
    <t>Ferry [Little River to Powell River]</t>
  </si>
  <si>
    <t>Ferry</t>
  </si>
  <si>
    <t>Powell River</t>
  </si>
  <si>
    <t>7214 Jordan Street</t>
  </si>
  <si>
    <t>Lund</t>
  </si>
  <si>
    <t>Mowat Bay</t>
  </si>
  <si>
    <t>Willingdon Beach</t>
  </si>
  <si>
    <t>Summit Park</t>
  </si>
  <si>
    <t>Pacific National Exhibition [PNE] Fairgrounds</t>
  </si>
  <si>
    <t>Simon Fraser University [Townhouse in Residence]</t>
  </si>
  <si>
    <t>Spinnakers Brewpub &amp; Guesthouses</t>
  </si>
  <si>
    <t>Tsawwassen</t>
  </si>
  <si>
    <t>Ferry Terminal</t>
  </si>
  <si>
    <t>Mount Helmcken</t>
  </si>
  <si>
    <t>-</t>
  </si>
  <si>
    <t>Panama Flats</t>
  </si>
  <si>
    <t>Witty's Lagoon</t>
  </si>
  <si>
    <t>Salt Spring Island</t>
  </si>
  <si>
    <t>Ruckle Park</t>
  </si>
  <si>
    <t>Quick's Bottom</t>
  </si>
  <si>
    <t>Gowland Tod</t>
  </si>
  <si>
    <t>Todd Inlet</t>
  </si>
  <si>
    <t>1001 Douglas Street [Sussex Building]</t>
  </si>
  <si>
    <t>Swan Lake</t>
  </si>
  <si>
    <t>Fort Rodd Hill</t>
  </si>
  <si>
    <t>Hartland Mountain Bike Trails</t>
  </si>
  <si>
    <t>JC Hill Elementary School</t>
  </si>
  <si>
    <t>Port Alberni</t>
  </si>
  <si>
    <t>Cathedral Grove</t>
  </si>
  <si>
    <t>955 Humbolt Street</t>
  </si>
  <si>
    <t>Royal BC Museum</t>
  </si>
  <si>
    <t>Inner Harbour</t>
  </si>
  <si>
    <t>Miniature World</t>
  </si>
  <si>
    <t>Dallas Road</t>
  </si>
  <si>
    <t>998 Thurlow Street</t>
  </si>
  <si>
    <t>Sunset Beach Park</t>
  </si>
  <si>
    <t>Madrona</t>
  </si>
  <si>
    <t>Ucluelet</t>
  </si>
  <si>
    <t>Hetinkis Park</t>
  </si>
  <si>
    <t>Tofino</t>
  </si>
  <si>
    <t>Long Beach</t>
  </si>
  <si>
    <t>Kinsol Trestle</t>
  </si>
  <si>
    <t>924 Cook Street, Suite 203</t>
  </si>
  <si>
    <t>World Parrot Refuge</t>
  </si>
  <si>
    <t>Government House</t>
  </si>
  <si>
    <t>Port Renfrew</t>
  </si>
  <si>
    <t>Botanical Beach</t>
  </si>
  <si>
    <t>Beaver Lake</t>
  </si>
  <si>
    <t>Gordon Bay</t>
  </si>
  <si>
    <t>Western Speedway</t>
  </si>
  <si>
    <t>British Columbia Legislature</t>
  </si>
  <si>
    <t>Willows Beach</t>
  </si>
  <si>
    <t>Breakwater</t>
  </si>
  <si>
    <t>Durrance Lake</t>
  </si>
  <si>
    <t>Noda</t>
  </si>
  <si>
    <t>Japan</t>
  </si>
  <si>
    <t>JPN</t>
  </si>
  <si>
    <t>Ishizukas Tetsuji Dojo</t>
  </si>
  <si>
    <t>Chiba Prefecture</t>
  </si>
  <si>
    <t>Bujinkan Honbu Dojo</t>
  </si>
  <si>
    <t>Shimofusanodaatago Shrine</t>
  </si>
  <si>
    <t>Asakusa</t>
  </si>
  <si>
    <t>Sensoji Temple</t>
  </si>
  <si>
    <t>Tokyo</t>
  </si>
  <si>
    <t>Kyoto</t>
  </si>
  <si>
    <t>Fushimi Inari-taisha</t>
  </si>
  <si>
    <t>Kyoto Prefecture</t>
  </si>
  <si>
    <t>Iwatayama Monkey Park</t>
  </si>
  <si>
    <t>Atago Shrine</t>
  </si>
  <si>
    <t>Morino Amusement Park</t>
  </si>
  <si>
    <t>940 Blanshard Street</t>
  </si>
  <si>
    <t>Mount Work</t>
  </si>
  <si>
    <t>2277 Pond Place</t>
  </si>
  <si>
    <t>Christmas Hill</t>
  </si>
  <si>
    <t>Forest Museum [2892 Drinkwater Road]</t>
  </si>
  <si>
    <t>Fairmont Empress Hotel</t>
  </si>
  <si>
    <t>Campbell River</t>
  </si>
  <si>
    <t>Elk Falls Provincial Park</t>
  </si>
  <si>
    <t>Campbell River Museum</t>
  </si>
  <si>
    <t>Marine Avenue [Patsy and Roy's House]</t>
  </si>
  <si>
    <t>7085 Penticton</t>
  </si>
  <si>
    <t>Savary Island</t>
  </si>
  <si>
    <t>Golden</t>
  </si>
  <si>
    <t>Park Bridge</t>
  </si>
  <si>
    <t>Riptide Lagoon Adventure Golf Ltd</t>
  </si>
  <si>
    <t>Errington</t>
  </si>
  <si>
    <t>North Island Wildlife Recovery Association</t>
  </si>
  <si>
    <t>Parksville Museum</t>
  </si>
  <si>
    <t>Oceanside Village Resort</t>
  </si>
  <si>
    <t>Rathtrevor Beach Provincial Park</t>
  </si>
  <si>
    <t>Englishman River Falls</t>
  </si>
  <si>
    <t>Tiger Lily Farm</t>
  </si>
  <si>
    <t>Edward Milne Community School</t>
  </si>
  <si>
    <t>Ross Bay Cemetery</t>
  </si>
  <si>
    <t>Pioneer Square</t>
  </si>
  <si>
    <t>Empress</t>
  </si>
  <si>
    <t>San Juan</t>
  </si>
  <si>
    <t>United States of America</t>
  </si>
  <si>
    <t>USA</t>
  </si>
  <si>
    <t>Calle Norzagaray</t>
  </si>
  <si>
    <t>Puerto Rico</t>
  </si>
  <si>
    <t>Castillo San Felipe del Morro</t>
  </si>
  <si>
    <t>Ponce</t>
  </si>
  <si>
    <t>Hacienda Buena Vista [Coffee Plantation]</t>
  </si>
  <si>
    <t>Old San Juan</t>
  </si>
  <si>
    <t>Castillo San Cristobal</t>
  </si>
  <si>
    <t>Calle San Agustin</t>
  </si>
  <si>
    <t>Francis King Park</t>
  </si>
  <si>
    <t>Fisherman's Wharf</t>
  </si>
  <si>
    <t>Lone Tree Hill</t>
  </si>
  <si>
    <t>Thetis Lake</t>
  </si>
  <si>
    <t>China Town</t>
  </si>
  <si>
    <t>Camosun College Landsdowne Campus</t>
  </si>
  <si>
    <t>Victoria Quay</t>
  </si>
  <si>
    <t>St. Ann's Academy</t>
  </si>
  <si>
    <t>Craigdarroch Castle</t>
  </si>
  <si>
    <t>Studio 4</t>
  </si>
  <si>
    <t>Kelowna</t>
  </si>
  <si>
    <t>Waterfront Park</t>
  </si>
  <si>
    <t>Delta Hotel</t>
  </si>
  <si>
    <t>Port Macquarie</t>
  </si>
  <si>
    <t>Billabong Koala and Wildlife Park</t>
  </si>
  <si>
    <t>New South Wales</t>
  </si>
  <si>
    <t>Perth Zoo</t>
  </si>
  <si>
    <t>Denarau Island</t>
  </si>
  <si>
    <t>Fiji</t>
  </si>
  <si>
    <t>FJI</t>
  </si>
  <si>
    <t>Denarau Island Westin Resort</t>
  </si>
  <si>
    <t>Viti Levu</t>
  </si>
  <si>
    <t>Hatley Castle</t>
  </si>
  <si>
    <t>Kings Park and Botanic Garden</t>
  </si>
  <si>
    <t>Katoomba</t>
  </si>
  <si>
    <t>Katoomba Scenic World</t>
  </si>
  <si>
    <t>Three Sisters</t>
  </si>
  <si>
    <t>7 The Pinnacle</t>
  </si>
  <si>
    <t>Port Macquarie Museum</t>
  </si>
  <si>
    <t>Historical Society and Museum</t>
  </si>
  <si>
    <t>Sea Acres</t>
  </si>
  <si>
    <t>Town Beach</t>
  </si>
  <si>
    <t>Miner's Beach</t>
  </si>
  <si>
    <t>Walking the Beaches</t>
  </si>
  <si>
    <t>Sydney</t>
  </si>
  <si>
    <t>Sydney Airport</t>
  </si>
  <si>
    <t>Darling Harbour</t>
  </si>
  <si>
    <t>Sea Life Sydney Aquarium</t>
  </si>
  <si>
    <t>WILD LIFE Sydney Zoo</t>
  </si>
  <si>
    <t>Mercure</t>
  </si>
  <si>
    <t>The Rocks</t>
  </si>
  <si>
    <t>UniLodge</t>
  </si>
  <si>
    <t>Victoria Park</t>
  </si>
  <si>
    <t>Airlie Beach</t>
  </si>
  <si>
    <t>18 Golden Orchid Drive [Martinique Whitsunday]</t>
  </si>
  <si>
    <t>Queensland</t>
  </si>
  <si>
    <t>Ballarat</t>
  </si>
  <si>
    <t>Sovereign Hill</t>
  </si>
  <si>
    <t>Hamilton</t>
  </si>
  <si>
    <t>5 McDonald Avenue</t>
  </si>
  <si>
    <t>Fremantle</t>
  </si>
  <si>
    <t>Fremantle Prison</t>
  </si>
  <si>
    <t>Lake Monger</t>
  </si>
  <si>
    <t>Marangaroo Golf Course</t>
  </si>
  <si>
    <t>West Swan</t>
  </si>
  <si>
    <t>Margaret River Chocolate Company</t>
  </si>
  <si>
    <t>Rottnest Island</t>
  </si>
  <si>
    <t>The Round House</t>
  </si>
  <si>
    <t>Woodbridge</t>
  </si>
  <si>
    <t>Woodbridge House</t>
  </si>
  <si>
    <t>Nadi</t>
  </si>
  <si>
    <t>Nadi International Airport</t>
  </si>
  <si>
    <t>South Sea Island</t>
  </si>
  <si>
    <t>Mamanuca Islands</t>
  </si>
  <si>
    <t>Seattle</t>
  </si>
  <si>
    <t>Grand Hyatt Hotel</t>
  </si>
  <si>
    <t>Washington</t>
  </si>
  <si>
    <t>Victoria Clipper Ferry</t>
  </si>
  <si>
    <t>Victoria Clipper Ferry Terminal</t>
  </si>
  <si>
    <t>Pike Place Market</t>
  </si>
  <si>
    <t>Seattle Art Museum</t>
  </si>
  <si>
    <t>Seattle Underground</t>
  </si>
  <si>
    <t>Woodland Park Zoo</t>
  </si>
  <si>
    <t>Space Needle Park</t>
  </si>
  <si>
    <t>Science Fiction Museum and Hall of Fame</t>
  </si>
  <si>
    <t>Pacific Science Centre</t>
  </si>
  <si>
    <t>Space Needle</t>
  </si>
  <si>
    <t>Experience Music Project Museum</t>
  </si>
  <si>
    <t>Seattle Aquarium</t>
  </si>
  <si>
    <t>Ye Olde Curiosity Shop</t>
  </si>
  <si>
    <t>Seattle Central Library</t>
  </si>
  <si>
    <t>Rainier Square</t>
  </si>
  <si>
    <t>4020 Grange Road</t>
  </si>
  <si>
    <t>Cobble Hill</t>
  </si>
  <si>
    <t>3575 Dougan Drive [John Deveau's]</t>
  </si>
  <si>
    <t>Powell River Ferry Terminal</t>
  </si>
  <si>
    <t>Victoria International Airport [YYJ]</t>
  </si>
  <si>
    <t>Stanley Park</t>
  </si>
  <si>
    <t>Adrena LINE Zipline Adventure Tours</t>
  </si>
  <si>
    <t>Joan and Charlie's House</t>
  </si>
  <si>
    <t>Royal London Wax Museum</t>
  </si>
  <si>
    <t>Richmond</t>
  </si>
  <si>
    <t>Vancouver International Airport</t>
  </si>
  <si>
    <t>Siem Reap</t>
  </si>
  <si>
    <t>Cambodia</t>
  </si>
  <si>
    <t>KHM</t>
  </si>
  <si>
    <t>Angkor Thom</t>
  </si>
  <si>
    <t>Joan and Charlie's Cabin</t>
  </si>
  <si>
    <t>Mount Maxwell</t>
  </si>
  <si>
    <t>Babbington Hill</t>
  </si>
  <si>
    <t>Western Communities Bus Exchange</t>
  </si>
  <si>
    <t>Rogers Arena</t>
  </si>
  <si>
    <t>Phnom Penh</t>
  </si>
  <si>
    <t>Independence Monument</t>
  </si>
  <si>
    <t>Tuol Sleng Genocide Museum</t>
  </si>
  <si>
    <t>Choeung Ek Genocidal Center</t>
  </si>
  <si>
    <t>Pacific Hotel [234 Preah Monivong Blvd [93]]</t>
  </si>
  <si>
    <t>National Museum</t>
  </si>
  <si>
    <t>S-21 Tuol Sleng Genocide Museum</t>
  </si>
  <si>
    <t>Wat Phnom</t>
  </si>
  <si>
    <t>Artisans Angkor</t>
  </si>
  <si>
    <t>Ta Prohm</t>
  </si>
  <si>
    <t>Angkor Wat</t>
  </si>
  <si>
    <t>Princess Angkor Hotel</t>
  </si>
  <si>
    <t>Tha Ma Kham</t>
  </si>
  <si>
    <t>Thailand</t>
  </si>
  <si>
    <t>THA</t>
  </si>
  <si>
    <t>Bridge over the River Kwai</t>
  </si>
  <si>
    <t>Kanchanaburi Province</t>
  </si>
  <si>
    <t>Damnoen Saduak District</t>
  </si>
  <si>
    <t>Damnoen Saduak Floating Market</t>
  </si>
  <si>
    <t>Ratchaburi</t>
  </si>
  <si>
    <t>Bangkok</t>
  </si>
  <si>
    <t>Temple of the Golden Buddha [Wat Traimit]</t>
  </si>
  <si>
    <t>Grand Palace</t>
  </si>
  <si>
    <t>Samut Songkhram</t>
  </si>
  <si>
    <t>Maeklong Railway Market</t>
  </si>
  <si>
    <t>Marble Temple</t>
  </si>
  <si>
    <t>Sai Yok District</t>
  </si>
  <si>
    <t>Tiger Temple</t>
  </si>
  <si>
    <t>Wat Arun</t>
  </si>
  <si>
    <t>Wat Pho Reclining Buddha</t>
  </si>
  <si>
    <t>Ho Chi Minh City</t>
  </si>
  <si>
    <t>Vietnam</t>
  </si>
  <si>
    <t>VNM</t>
  </si>
  <si>
    <t>Ben Thanh Market</t>
  </si>
  <si>
    <t>Saigon Central Post Office</t>
  </si>
  <si>
    <t>Mausoleum of Chaos</t>
  </si>
  <si>
    <t>City Hall</t>
  </si>
  <si>
    <t>Notre Dame Cathedral</t>
  </si>
  <si>
    <t>Reunification Palace</t>
  </si>
  <si>
    <t>Tao Dan Park</t>
  </si>
  <si>
    <t>War Remnants Museum</t>
  </si>
  <si>
    <t>Butchart Gardens</t>
  </si>
  <si>
    <t>2930 Prior Street</t>
  </si>
  <si>
    <t>Victoria General Hospital</t>
  </si>
  <si>
    <t>Marigold Park</t>
  </si>
  <si>
    <t>455 Phelps Avenue</t>
  </si>
  <si>
    <t>855 Phoenix Street</t>
  </si>
  <si>
    <t>6464 Golledge Road</t>
  </si>
  <si>
    <t>Island View Beach</t>
  </si>
  <si>
    <t>Galey Farms</t>
  </si>
  <si>
    <t>Sooke Harbour House</t>
  </si>
  <si>
    <t>Edge Park</t>
  </si>
  <si>
    <t>Downtown</t>
  </si>
  <si>
    <t>Beckwith Park</t>
  </si>
  <si>
    <t>St. George's Anglican Church</t>
  </si>
  <si>
    <t>998 Violet Avenue [Nana Kate's]</t>
  </si>
  <si>
    <t>Esquimalt</t>
  </si>
  <si>
    <t>Esquimalt Road</t>
  </si>
  <si>
    <t>Tillicum Mall</t>
  </si>
  <si>
    <t>Oceanside Beach Resort</t>
  </si>
  <si>
    <t>Cranberry Lake</t>
  </si>
  <si>
    <t>Valentine Mountain</t>
  </si>
  <si>
    <t>Sea Cadet Grounds</t>
  </si>
  <si>
    <t>Sunset Park</t>
  </si>
  <si>
    <t>Luxton Fairgrounds</t>
  </si>
  <si>
    <t>McPherson Playhouse</t>
  </si>
  <si>
    <t>Esquimalt Fire Department</t>
  </si>
  <si>
    <t>Fire Station</t>
  </si>
  <si>
    <t>Goldstream Park</t>
  </si>
  <si>
    <t>Saanich Historical Artifacts Society</t>
  </si>
  <si>
    <t>210 3205 Wetherby Road</t>
  </si>
  <si>
    <t>Chilliwack</t>
  </si>
  <si>
    <t>Little Mountain Cemetary</t>
  </si>
  <si>
    <t>Tree House Cafe</t>
  </si>
  <si>
    <t>Fridas Villa and Cottage</t>
  </si>
  <si>
    <t>BC Aviation Museum</t>
  </si>
  <si>
    <t>Bond Bond's Bakery</t>
  </si>
  <si>
    <t>Hyacinth Park</t>
  </si>
  <si>
    <t>Okeover Arm</t>
  </si>
  <si>
    <t>The Mill</t>
  </si>
  <si>
    <t>Helmecken Centennial Park</t>
  </si>
  <si>
    <t>Saanich Fairgrounds</t>
  </si>
  <si>
    <t>Esquimalt Recreation Centre</t>
  </si>
  <si>
    <t>Caleb Pike</t>
  </si>
  <si>
    <t>Fulford Harbour</t>
  </si>
  <si>
    <t>Gibsons Beach</t>
  </si>
  <si>
    <t>Henderson Park</t>
  </si>
  <si>
    <t>Clover Point</t>
  </si>
  <si>
    <t>Topaz Park</t>
  </si>
  <si>
    <t>904 Old Esquimalt Road</t>
  </si>
  <si>
    <t>Whiffin Spit</t>
  </si>
  <si>
    <t>G.R. Pearkes Recreation Centre</t>
  </si>
  <si>
    <t>Belmont Secondary School</t>
  </si>
  <si>
    <t>Millstream Village</t>
  </si>
  <si>
    <t>QV Cafe &amp; Bakery</t>
  </si>
  <si>
    <t>Douglas Street</t>
  </si>
  <si>
    <t>Sooke Elementary</t>
  </si>
  <si>
    <t>Gyro Beach</t>
  </si>
  <si>
    <t>Saanich Commonwealth Place</t>
  </si>
  <si>
    <t>South Valley Park</t>
  </si>
  <si>
    <t>995 furber Road</t>
  </si>
  <si>
    <t>Save on Foods Memorial Centre</t>
  </si>
  <si>
    <t>Sea Glass Beach</t>
  </si>
  <si>
    <t>Cusheon Lake Resort</t>
  </si>
  <si>
    <t>Ganges</t>
  </si>
  <si>
    <t>DND Emergency Response Training Centre</t>
  </si>
  <si>
    <t>1810 Koksilah Road</t>
  </si>
  <si>
    <t>Cherries Breakfast Bistro</t>
  </si>
  <si>
    <t>Marigold Elementary School</t>
  </si>
  <si>
    <t>Gabriola Island</t>
  </si>
  <si>
    <t>Page's Resort and Marina</t>
  </si>
  <si>
    <t>Drumbeg Provincial Park</t>
  </si>
  <si>
    <t>2200 South Road - Gabriola Community Hall</t>
  </si>
  <si>
    <t>Greenglade Community Centre</t>
  </si>
  <si>
    <t>Shaw Centre for the Salish Sea</t>
  </si>
  <si>
    <t>Galloping Goose Trail</t>
  </si>
  <si>
    <t>Scouts Canada Building</t>
  </si>
  <si>
    <t>Beach Acres</t>
  </si>
  <si>
    <t>Chancellor Park</t>
  </si>
  <si>
    <t>4570 Wilkinson Road</t>
  </si>
  <si>
    <t>Westburn Beach House and Cottages</t>
  </si>
  <si>
    <t>The Hudson</t>
  </si>
  <si>
    <t>Hyatt Regency Vancouver</t>
  </si>
  <si>
    <t>Konukson Park</t>
  </si>
  <si>
    <t>Uptown</t>
  </si>
  <si>
    <t>Victoria Courthouse Playground</t>
  </si>
  <si>
    <t>Victoria Gymnastics</t>
  </si>
  <si>
    <t>954 Burnside Road West</t>
  </si>
  <si>
    <t>1810 Blanshard Street</t>
  </si>
  <si>
    <t>Smokin Tuna Cafe</t>
  </si>
  <si>
    <t>Tulista Park</t>
  </si>
  <si>
    <t>Anacortes Ferry</t>
  </si>
  <si>
    <t>Mayne Island</t>
  </si>
  <si>
    <t>Lighthouse Point</t>
  </si>
  <si>
    <t>Mount Parke Regional Park</t>
  </si>
  <si>
    <t>Japanese Garden</t>
  </si>
  <si>
    <t>Miners Bay</t>
  </si>
  <si>
    <t>Dinner Bay</t>
  </si>
  <si>
    <t>530 Montrose Road</t>
  </si>
  <si>
    <t>Bennett Bay</t>
  </si>
  <si>
    <t>Village Bay Ferry Terminal</t>
  </si>
  <si>
    <t>Metchosin Municipal Grounds</t>
  </si>
  <si>
    <t>Point Ellice House</t>
  </si>
  <si>
    <t>Cordova Bay Beach</t>
  </si>
  <si>
    <t>Victoria Conference Centre</t>
  </si>
  <si>
    <t>4022 Grange Road</t>
  </si>
  <si>
    <t>Journey Middle School</t>
  </si>
  <si>
    <t>Ecole Poirier Elementary School</t>
  </si>
  <si>
    <t>BC Ferries</t>
  </si>
  <si>
    <t>Swartz Bay to Tsawwassen</t>
  </si>
  <si>
    <t>Aldergrove</t>
  </si>
  <si>
    <t>Greater Vancouver Zoo</t>
  </si>
  <si>
    <t>Yarrow</t>
  </si>
  <si>
    <t>The Rivers</t>
  </si>
  <si>
    <t>Columbia Valley</t>
  </si>
  <si>
    <t>200 Columbia Valley Road</t>
  </si>
  <si>
    <t>Powerhouse at Stave Falls</t>
  </si>
  <si>
    <t>41924 Kirk Avenue</t>
  </si>
  <si>
    <t>Yarrow Pioneer Park</t>
  </si>
  <si>
    <t>Chilliwack Landing Leisure Centre</t>
  </si>
  <si>
    <t>46152 First Avenue</t>
  </si>
  <si>
    <t>North Vancouver</t>
  </si>
  <si>
    <t>Grouse Mountain</t>
  </si>
  <si>
    <t>Granville Island</t>
  </si>
  <si>
    <t>2855 Sophia Street</t>
  </si>
  <si>
    <t>1233 West Cordova Street</t>
  </si>
  <si>
    <t>Coal Harbour</t>
  </si>
  <si>
    <t>Lonsdale Quay</t>
  </si>
  <si>
    <t>Seabus</t>
  </si>
  <si>
    <t>Fireside Grill</t>
  </si>
  <si>
    <t>The Beach House Restaurant</t>
  </si>
  <si>
    <t>Cattle Point</t>
  </si>
  <si>
    <t>Cook Street Village</t>
  </si>
  <si>
    <t>Dallas</t>
  </si>
  <si>
    <t>Dallas Fort Worth International</t>
  </si>
  <si>
    <t>Texas</t>
  </si>
  <si>
    <t>Manly</t>
  </si>
  <si>
    <t>Madame Tussauds</t>
  </si>
  <si>
    <t>Bago Vineyard and Maze</t>
  </si>
  <si>
    <t>Cairns</t>
  </si>
  <si>
    <t>MiPlace</t>
  </si>
  <si>
    <t>Esplanade</t>
  </si>
  <si>
    <t>Mossman</t>
  </si>
  <si>
    <t>George Davis Park</t>
  </si>
  <si>
    <t>Daintree Rainforest</t>
  </si>
  <si>
    <t>Daintree Discovery Centre</t>
  </si>
  <si>
    <t>Daintree Ice Cream Company</t>
  </si>
  <si>
    <t>Port Douglas</t>
  </si>
  <si>
    <t>Nimrod Resort Apartments</t>
  </si>
  <si>
    <t>Wildlife Habitat</t>
  </si>
  <si>
    <t>Melbourne</t>
  </si>
  <si>
    <t>Eureka Tower</t>
  </si>
  <si>
    <t>Lego Land</t>
  </si>
  <si>
    <t>SEA LIFE Melbourne Aquarium</t>
  </si>
  <si>
    <t>Kryal Castle</t>
  </si>
  <si>
    <t>Federation Square</t>
  </si>
  <si>
    <t>Oak Bay Recreation Centre</t>
  </si>
  <si>
    <t>4000 Seymour Place</t>
  </si>
  <si>
    <t>Market Square</t>
  </si>
  <si>
    <t>Bridgeport Station</t>
  </si>
  <si>
    <t>Tumbalong Park</t>
  </si>
  <si>
    <t>Somersby</t>
  </si>
  <si>
    <t>Australian Reptile Park</t>
  </si>
  <si>
    <t>Airport</t>
  </si>
  <si>
    <t>Fig Tree Park</t>
  </si>
  <si>
    <t>Daintree Crocodylus</t>
  </si>
  <si>
    <t>Whyanbeel</t>
  </si>
  <si>
    <t>Sweet Farm Tours</t>
  </si>
  <si>
    <t>Daintree Ferry</t>
  </si>
  <si>
    <t>Wangetti</t>
  </si>
  <si>
    <t>Toyah Towers Balancing Rocks</t>
  </si>
  <si>
    <t>AirBnB</t>
  </si>
  <si>
    <t>Crib Point</t>
  </si>
  <si>
    <t>8 Milne Street</t>
  </si>
  <si>
    <t>Arthurs Seat</t>
  </si>
  <si>
    <t>Enchanted Adventure Garden</t>
  </si>
  <si>
    <t>Murrays Lookout</t>
  </si>
  <si>
    <t>Portage Inlet</t>
  </si>
  <si>
    <t>MacAulay Point Park</t>
  </si>
  <si>
    <t>Royal Beach Park Playground</t>
  </si>
  <si>
    <t>Esquimalt Lagoon</t>
  </si>
  <si>
    <t>Sooke Elementary School</t>
  </si>
  <si>
    <t>7206 Jordan Street</t>
  </si>
  <si>
    <t>La Guancha Boardwalk</t>
  </si>
  <si>
    <t>Luminara</t>
  </si>
  <si>
    <t>Ed Macgregor Park</t>
  </si>
  <si>
    <t>Swartz Bay Ferry Terminal</t>
  </si>
  <si>
    <t>Hamilton Island</t>
  </si>
  <si>
    <t>Hamilton Island Airport</t>
  </si>
  <si>
    <t>Cottelsoe Beach</t>
  </si>
  <si>
    <t>Broadway Mall</t>
  </si>
  <si>
    <t>Goward House</t>
  </si>
  <si>
    <t>Bruce Belchers Daintree River Cruises</t>
  </si>
  <si>
    <t>Ricardoes Tomatoes and Strawberries</t>
  </si>
  <si>
    <t>Muddy's Playground</t>
  </si>
  <si>
    <t>Cairns Esplanade</t>
  </si>
  <si>
    <t>Kuranada</t>
  </si>
  <si>
    <t>Skyrail Rainforest Cableway</t>
  </si>
  <si>
    <t>Mckenzie Elementary School</t>
  </si>
  <si>
    <t>Cuthbert Holmes Park</t>
  </si>
  <si>
    <t>Vernon</t>
  </si>
  <si>
    <t>London</t>
  </si>
  <si>
    <t>England</t>
  </si>
  <si>
    <t>Culross</t>
  </si>
  <si>
    <t>Manitoba</t>
  </si>
  <si>
    <t>Truro</t>
  </si>
  <si>
    <t>School</t>
  </si>
  <si>
    <t>Toronto</t>
  </si>
  <si>
    <t>Ontario</t>
  </si>
  <si>
    <t>Christmas</t>
  </si>
  <si>
    <t>Frank</t>
  </si>
  <si>
    <t>Alberta</t>
  </si>
  <si>
    <t>Roosville</t>
  </si>
  <si>
    <t>Fernie</t>
  </si>
  <si>
    <t>Eureka</t>
  </si>
  <si>
    <t>Montana</t>
  </si>
  <si>
    <t>Ladysmith</t>
  </si>
  <si>
    <t>Moosejaw</t>
  </si>
  <si>
    <t>Lethbridge</t>
  </si>
  <si>
    <t>Cranmore</t>
  </si>
  <si>
    <t>Osoyoos</t>
  </si>
  <si>
    <t>Kauai</t>
  </si>
  <si>
    <t>Party</t>
  </si>
  <si>
    <t>Park</t>
  </si>
  <si>
    <t>Lake</t>
  </si>
  <si>
    <t>Sunset</t>
  </si>
  <si>
    <t>Mountain</t>
  </si>
  <si>
    <t>Paintball</t>
  </si>
  <si>
    <t>Hiking</t>
  </si>
  <si>
    <t>Beach</t>
  </si>
  <si>
    <t>Apartment</t>
  </si>
  <si>
    <t>Condo</t>
  </si>
  <si>
    <t>Chemainus</t>
  </si>
  <si>
    <t>Celebration</t>
  </si>
  <si>
    <t>Snowbirds</t>
  </si>
  <si>
    <t>Bonfire</t>
  </si>
  <si>
    <t>Museum</t>
  </si>
  <si>
    <t>Curacao</t>
  </si>
  <si>
    <t>Guanica</t>
  </si>
  <si>
    <t>Birthday</t>
  </si>
  <si>
    <t>Camosun</t>
  </si>
  <si>
    <t>Legislature</t>
  </si>
  <si>
    <t>Blackheath</t>
  </si>
  <si>
    <t>Aquarium</t>
  </si>
  <si>
    <t>Backyard</t>
  </si>
  <si>
    <t>Prewedding</t>
  </si>
  <si>
    <t>Hedge</t>
  </si>
  <si>
    <t>Mekong</t>
  </si>
  <si>
    <t>Wedding</t>
  </si>
  <si>
    <t>Snow</t>
  </si>
  <si>
    <t>Flowers</t>
  </si>
  <si>
    <t>Cake</t>
  </si>
  <si>
    <t>Geocaching</t>
  </si>
  <si>
    <t>Memorial</t>
  </si>
  <si>
    <t>Kindergarten</t>
  </si>
  <si>
    <t>Reception</t>
  </si>
  <si>
    <t>Graduation</t>
  </si>
  <si>
    <t>Vacation</t>
  </si>
  <si>
    <t>count</t>
  </si>
  <si>
    <t>River</t>
  </si>
  <si>
    <t>Hike</t>
  </si>
  <si>
    <t>Trip</t>
  </si>
  <si>
    <t>Wildlife</t>
  </si>
  <si>
    <t>Camping</t>
  </si>
  <si>
    <t>Falls</t>
  </si>
  <si>
    <t>Forest</t>
  </si>
  <si>
    <t>Walking</t>
  </si>
  <si>
    <t>Training</t>
  </si>
  <si>
    <t>Riding</t>
  </si>
  <si>
    <t>Sea</t>
  </si>
  <si>
    <t>Visit</t>
  </si>
  <si>
    <t>Retirement</t>
  </si>
  <si>
    <t>Photobook</t>
  </si>
  <si>
    <t>Climbing</t>
  </si>
  <si>
    <t>Market</t>
  </si>
  <si>
    <t>Weekend</t>
  </si>
  <si>
    <t>Temple</t>
  </si>
  <si>
    <t>Grandpa</t>
  </si>
  <si>
    <t>Tower</t>
  </si>
  <si>
    <t>Daintree</t>
  </si>
  <si>
    <t>Anniversary</t>
  </si>
  <si>
    <t>Castle</t>
  </si>
  <si>
    <t>Montage</t>
  </si>
  <si>
    <t>Home</t>
  </si>
  <si>
    <t>Book</t>
  </si>
  <si>
    <t>Exploring</t>
  </si>
  <si>
    <t>Lego</t>
  </si>
  <si>
    <t>Farm</t>
  </si>
  <si>
    <t>Scenic</t>
  </si>
  <si>
    <t>Bouldering</t>
  </si>
  <si>
    <t>Baby</t>
  </si>
  <si>
    <t>Koala</t>
  </si>
  <si>
    <t>Work</t>
  </si>
  <si>
    <t>Sitting</t>
  </si>
  <si>
    <t>Tour</t>
  </si>
  <si>
    <t>Centre</t>
  </si>
  <si>
    <t>Opening</t>
  </si>
  <si>
    <t>Tiger</t>
  </si>
  <si>
    <t>Moving</t>
  </si>
  <si>
    <t>Renos</t>
  </si>
  <si>
    <t>Elementary</t>
  </si>
  <si>
    <t>Bridge</t>
  </si>
  <si>
    <t>Birth</t>
  </si>
  <si>
    <t>Hospital</t>
  </si>
  <si>
    <t>Festival</t>
  </si>
  <si>
    <t>Harbour</t>
  </si>
  <si>
    <t>Practice</t>
  </si>
  <si>
    <t>S</t>
  </si>
  <si>
    <t>Ocean</t>
  </si>
  <si>
    <t>Monkey</t>
  </si>
  <si>
    <t>Fire</t>
  </si>
  <si>
    <t>Driving</t>
  </si>
  <si>
    <t>Building</t>
  </si>
  <si>
    <t>Walk</t>
  </si>
  <si>
    <t>Railway</t>
  </si>
  <si>
    <t>Habitat</t>
  </si>
  <si>
    <t>University</t>
  </si>
  <si>
    <t>Project</t>
  </si>
  <si>
    <t>Adventure</t>
  </si>
  <si>
    <t>Cathedral</t>
  </si>
  <si>
    <t>Town</t>
  </si>
  <si>
    <t>Picnic</t>
  </si>
  <si>
    <t>Boat</t>
  </si>
  <si>
    <t>Meadow</t>
  </si>
  <si>
    <t>Lagoon</t>
  </si>
  <si>
    <t>Band</t>
  </si>
  <si>
    <t>Horse</t>
  </si>
  <si>
    <t>Reef</t>
  </si>
  <si>
    <t>Shower</t>
  </si>
  <si>
    <t>Maternity</t>
  </si>
  <si>
    <t>Train</t>
  </si>
  <si>
    <t>Prison</t>
  </si>
  <si>
    <t>Canyon</t>
  </si>
  <si>
    <t>Butterfly</t>
  </si>
  <si>
    <t>Grove</t>
  </si>
  <si>
    <t>Stones</t>
  </si>
  <si>
    <t>Dojo</t>
  </si>
  <si>
    <t>Egg</t>
  </si>
  <si>
    <t>Fireworks</t>
  </si>
  <si>
    <t>Teepee</t>
  </si>
  <si>
    <t>Flood</t>
  </si>
  <si>
    <t>Flying</t>
  </si>
  <si>
    <t>Decorating</t>
  </si>
  <si>
    <t>Wharf</t>
  </si>
  <si>
    <t>Ride</t>
  </si>
  <si>
    <t>Crafting</t>
  </si>
  <si>
    <t>Travelling</t>
  </si>
  <si>
    <t>Cabin</t>
  </si>
  <si>
    <t>Working</t>
  </si>
  <si>
    <t>Ninjutsu</t>
  </si>
  <si>
    <t>Cat</t>
  </si>
  <si>
    <t>Grandparents</t>
  </si>
  <si>
    <t>Ceremony</t>
  </si>
  <si>
    <t>Hotel</t>
  </si>
  <si>
    <t>Inlet</t>
  </si>
  <si>
    <t>Townhouse</t>
  </si>
  <si>
    <t>Snake</t>
  </si>
  <si>
    <t>Rainforest</t>
  </si>
  <si>
    <t>Hunting</t>
  </si>
  <si>
    <t>Dogs</t>
  </si>
  <si>
    <t>Orchid</t>
  </si>
  <si>
    <t>Hunt</t>
  </si>
  <si>
    <t>Miniature</t>
  </si>
  <si>
    <t>Watching</t>
  </si>
  <si>
    <t>Snowman</t>
  </si>
  <si>
    <t>Mine</t>
  </si>
  <si>
    <t>Scrapbook</t>
  </si>
  <si>
    <t>Rafting</t>
  </si>
  <si>
    <t>Bathroom</t>
  </si>
  <si>
    <t>Ships</t>
  </si>
  <si>
    <t>Branch</t>
  </si>
  <si>
    <t>Awards</t>
  </si>
  <si>
    <t>Bike</t>
  </si>
  <si>
    <t>Feeding</t>
  </si>
  <si>
    <t>Rail</t>
  </si>
  <si>
    <t>Reptile</t>
  </si>
  <si>
    <t>Mushroom</t>
  </si>
  <si>
    <t>Skyrail</t>
  </si>
  <si>
    <t>Leaf</t>
  </si>
  <si>
    <t>Painting</t>
  </si>
  <si>
    <t>Reading</t>
  </si>
  <si>
    <t>Sky</t>
  </si>
  <si>
    <t>Creek</t>
  </si>
  <si>
    <t>Learning</t>
  </si>
  <si>
    <t>Letter</t>
  </si>
  <si>
    <t>Renovations</t>
  </si>
  <si>
    <t>Playground</t>
  </si>
  <si>
    <t>Celebrating</t>
  </si>
  <si>
    <t>Horseback</t>
  </si>
  <si>
    <t>Juncos</t>
  </si>
  <si>
    <t>Pumpkins</t>
  </si>
  <si>
    <t>Skytrain</t>
  </si>
  <si>
    <t>Drawings</t>
  </si>
  <si>
    <t>Costume</t>
  </si>
  <si>
    <t>Fundraiser</t>
  </si>
  <si>
    <t>Patio</t>
  </si>
  <si>
    <t>Airforce</t>
  </si>
  <si>
    <t>E</t>
  </si>
  <si>
    <t>Jack</t>
  </si>
  <si>
    <t>BBQ</t>
  </si>
  <si>
    <t>T</t>
  </si>
  <si>
    <t>M</t>
  </si>
  <si>
    <t>W</t>
  </si>
  <si>
    <t>Oklahoma</t>
  </si>
  <si>
    <t>Regina</t>
  </si>
  <si>
    <t>Dartmouth</t>
  </si>
  <si>
    <t>Surrey</t>
  </si>
  <si>
    <t>SFU</t>
  </si>
  <si>
    <t>Abbotsford</t>
  </si>
  <si>
    <t>N</t>
  </si>
  <si>
    <t>K</t>
  </si>
  <si>
    <t>Metadata Name</t>
  </si>
  <si>
    <t>NameID</t>
  </si>
  <si>
    <t>1878-06-20</t>
  </si>
  <si>
    <t>SpouseID</t>
  </si>
  <si>
    <t>Martial Arts</t>
  </si>
  <si>
    <t>Cyclone Fighting Arts</t>
  </si>
  <si>
    <t>High School</t>
  </si>
  <si>
    <t>Middle School</t>
  </si>
  <si>
    <t>Senior Secondary</t>
  </si>
  <si>
    <t>College</t>
  </si>
  <si>
    <t>PNE</t>
  </si>
  <si>
    <t>Prefer NickName</t>
  </si>
  <si>
    <t>Threshold</t>
  </si>
  <si>
    <t>Show on Map</t>
  </si>
  <si>
    <t>2 2 0 0</t>
  </si>
  <si>
    <t>2 3 0 0</t>
  </si>
  <si>
    <t>WGS-84</t>
  </si>
  <si>
    <t>Langham Court Theatre</t>
  </si>
  <si>
    <t>Shanklin</t>
  </si>
  <si>
    <t>Isle of Wight</t>
  </si>
  <si>
    <t>Southeast England</t>
  </si>
  <si>
    <t>GBR</t>
  </si>
  <si>
    <t>Portsdown Hill</t>
  </si>
  <si>
    <t>Portsmouth</t>
  </si>
  <si>
    <t>Teddington Lock</t>
  </si>
  <si>
    <t>Hampton Court Park</t>
  </si>
  <si>
    <t>Richmond Hill</t>
  </si>
  <si>
    <t>Richmond Park</t>
  </si>
  <si>
    <t>Roehampton Park</t>
  </si>
  <si>
    <t>28 Hartswood Road</t>
  </si>
  <si>
    <t>38 Bolingbroke Road</t>
  </si>
  <si>
    <t>Whimbledon Commons</t>
  </si>
  <si>
    <t>9 Woodstock Road</t>
  </si>
  <si>
    <t>29 Woodstock Road</t>
  </si>
  <si>
    <t>Golders Green</t>
  </si>
  <si>
    <t>44 Sutherland Avenue</t>
  </si>
  <si>
    <t>90 Sutherland Avenue</t>
  </si>
  <si>
    <t>16 Fairfax Road</t>
  </si>
  <si>
    <t>Hampstead Heath</t>
  </si>
  <si>
    <t>ZSL London Zoo</t>
  </si>
  <si>
    <t>Bridgwater</t>
  </si>
  <si>
    <t>Southwest England</t>
  </si>
  <si>
    <t>Bristol</t>
  </si>
  <si>
    <t>Sonora Island</t>
  </si>
  <si>
    <t>New Westminster</t>
  </si>
  <si>
    <t>Thurston Bay</t>
  </si>
  <si>
    <t>Nova Scotia</t>
  </si>
  <si>
    <t>Haida Gwaii</t>
  </si>
  <si>
    <t>Agassiz</t>
  </si>
  <si>
    <t>Crescent Beach</t>
  </si>
  <si>
    <t>Biloxi</t>
  </si>
  <si>
    <t>Mississippi</t>
  </si>
  <si>
    <t>Baldy Hughes</t>
  </si>
  <si>
    <t>West Vancouver</t>
  </si>
  <si>
    <t>Saskatchewan</t>
  </si>
  <si>
    <t>Fort Steele</t>
  </si>
  <si>
    <t>Lake Louise</t>
  </si>
  <si>
    <t>Texada Island</t>
  </si>
  <si>
    <t>Midwest City</t>
  </si>
  <si>
    <t>Coleman</t>
  </si>
  <si>
    <t>Alert Bay</t>
  </si>
  <si>
    <t>Port McNeill</t>
  </si>
  <si>
    <t>Hatzic</t>
  </si>
  <si>
    <t>Bella Coola</t>
  </si>
  <si>
    <t>Hell's Gate</t>
  </si>
  <si>
    <t>Barkerville</t>
  </si>
  <si>
    <t>Shawnigan Lake</t>
  </si>
  <si>
    <t>Hawaii</t>
  </si>
  <si>
    <t>Galiano Island</t>
  </si>
  <si>
    <t>Fushimi-ku</t>
  </si>
  <si>
    <t>Louisianaweg</t>
  </si>
  <si>
    <t>Willemstad</t>
  </si>
  <si>
    <t>CUW</t>
  </si>
  <si>
    <t>Jenolan Caves</t>
  </si>
  <si>
    <t>Mekong Delta</t>
  </si>
  <si>
    <t>Qualicum Bay</t>
  </si>
  <si>
    <t>Cultus Lake</t>
  </si>
  <si>
    <t>Lake Cathie</t>
  </si>
  <si>
    <t>Rex Lookout</t>
  </si>
  <si>
    <t>Bittern</t>
  </si>
  <si>
    <t>Stony Point</t>
  </si>
  <si>
    <t>Qualicum Beach</t>
  </si>
  <si>
    <t>Mount Finlayson</t>
  </si>
  <si>
    <t>Putters Mini Golf</t>
  </si>
  <si>
    <t>Location</t>
  </si>
  <si>
    <t>City</t>
  </si>
  <si>
    <t>State</t>
  </si>
  <si>
    <t>Country</t>
  </si>
  <si>
    <t>CountryCode</t>
  </si>
  <si>
    <t>Locality</t>
  </si>
  <si>
    <t>LocalityGeneral</t>
  </si>
  <si>
    <t>LocalitySpecific</t>
  </si>
  <si>
    <t>LocalityType</t>
  </si>
  <si>
    <t>GPSAltitude</t>
  </si>
  <si>
    <t>GPSAltitudeRef</t>
  </si>
  <si>
    <t>GPSDestBearing</t>
  </si>
  <si>
    <t>GPSDestBearingRef</t>
  </si>
  <si>
    <t>GPSDOP</t>
  </si>
  <si>
    <t>GPSHPositioningError</t>
  </si>
  <si>
    <t>GPSImgDirection</t>
  </si>
  <si>
    <t>GPSImgDirectionRef</t>
  </si>
  <si>
    <t>GPSLatitude</t>
  </si>
  <si>
    <t>GPSLatitudeRef</t>
  </si>
  <si>
    <t>GPSLongitude</t>
  </si>
  <si>
    <t>GPSLongitudeRef</t>
  </si>
  <si>
    <t>GPSMapDatum</t>
  </si>
  <si>
    <t>GPSProcessingMethod</t>
  </si>
  <si>
    <t>GPSSpeed</t>
  </si>
  <si>
    <t>GPSSpeedRef</t>
  </si>
  <si>
    <t>GPSTimeStamp</t>
  </si>
  <si>
    <t>GPSVersionID</t>
  </si>
  <si>
    <t>Bilston Creek Farm</t>
  </si>
  <si>
    <t>Column1</t>
  </si>
  <si>
    <t>Jean Glover [Nana] (MacDonald)</t>
  </si>
  <si>
    <t>Hansel William Patten (Barker)</t>
  </si>
  <si>
    <t>Doug</t>
  </si>
  <si>
    <t>Joanne</t>
  </si>
  <si>
    <t>Rick</t>
  </si>
  <si>
    <t>Rhys [Valerie] del Valle</t>
  </si>
  <si>
    <t>Milo Leslie Foster [Boppy]</t>
  </si>
  <si>
    <t>Maria Henriette Penner (Enns)</t>
  </si>
  <si>
    <t>Maria</t>
  </si>
  <si>
    <t>Henriette</t>
  </si>
  <si>
    <t>Carol Lemay (Penner)</t>
  </si>
  <si>
    <t>Happy Valley Elementary School</t>
  </si>
  <si>
    <t>Spouse Name</t>
  </si>
  <si>
    <t>1898-18-2</t>
  </si>
  <si>
    <t>Baldy Hughes Radar Station</t>
  </si>
  <si>
    <t>Politano Cafe</t>
  </si>
  <si>
    <t>Brentwood Bay</t>
  </si>
  <si>
    <t>Brittannia Mine Museum</t>
  </si>
  <si>
    <t>Brittannia</t>
  </si>
  <si>
    <t>Reece Avenue at Robson [Now 45711]</t>
  </si>
  <si>
    <t>211 Reece Avenue [Now 45711]</t>
  </si>
  <si>
    <t>211 Margaret Avenue [Now 46235]</t>
  </si>
  <si>
    <t>114 Berkeley Avenue [Now 45878]</t>
  </si>
  <si>
    <t>6363 Silverthorne Road</t>
  </si>
  <si>
    <t>Kidd Road</t>
  </si>
  <si>
    <t>Whippletree [475 Trans Canada Highway]</t>
  </si>
  <si>
    <t>Mount Tzuhalem</t>
  </si>
  <si>
    <t>6092 Alington Road</t>
  </si>
  <si>
    <t>East Sooke Park [Mirkwood]</t>
  </si>
  <si>
    <t>165 16th Street</t>
  </si>
  <si>
    <t>Isabella Dicken Elementary School</t>
  </si>
  <si>
    <t>Frank Slide</t>
  </si>
  <si>
    <t>Leechtown</t>
  </si>
  <si>
    <t>538 Arbutus</t>
  </si>
  <si>
    <t>Penner Road</t>
  </si>
  <si>
    <t>Stave Lake Road</t>
  </si>
  <si>
    <t>32909 Cherry Street</t>
  </si>
  <si>
    <t>The Bluffs</t>
  </si>
  <si>
    <t>4166 Fernwood Avenue</t>
  </si>
  <si>
    <t>Haslam Lake</t>
  </si>
  <si>
    <t>Lois Lake</t>
  </si>
  <si>
    <t>4597 Manson Avenue</t>
  </si>
  <si>
    <t>Andrews Cabin at the Hole in the Wall</t>
  </si>
  <si>
    <t>Inland Lake</t>
  </si>
  <si>
    <t>Italian Hall</t>
  </si>
  <si>
    <t>Oceanside Resort</t>
  </si>
  <si>
    <t>3783 Manitoba Avenue</t>
  </si>
  <si>
    <t>Donkersley Beach</t>
  </si>
  <si>
    <t>Higgins Inn</t>
  </si>
  <si>
    <t>Old Courthouse Inn</t>
  </si>
  <si>
    <t>Larry Gouthro Park</t>
  </si>
  <si>
    <t>Westview Viewpoint</t>
  </si>
  <si>
    <t>6845 Courtenay Street</t>
  </si>
  <si>
    <t>Roosville Border Crossing</t>
  </si>
  <si>
    <t>Vesuvias Harbour</t>
  </si>
  <si>
    <t>Museum of Pop Culture</t>
  </si>
  <si>
    <t>Sidney Spit Marine Park</t>
  </si>
  <si>
    <t>6762 Foreman Heights Drive</t>
  </si>
  <si>
    <t>Squamish General Hospital</t>
  </si>
  <si>
    <t>Texada Elementary School</t>
  </si>
  <si>
    <t>Texada</t>
  </si>
  <si>
    <t>Gnome Homes</t>
  </si>
  <si>
    <t>Shelter Point</t>
  </si>
  <si>
    <t>Thurston Bay Forest Services Ranger Station</t>
  </si>
  <si>
    <t>Robson Florist [Likely 1042 Robson]</t>
  </si>
  <si>
    <t>998 Thurlow Street, Suite 606</t>
  </si>
  <si>
    <t>2461 E 21st Avenue</t>
  </si>
  <si>
    <t>Expo 86 Grounds</t>
  </si>
  <si>
    <t>Museum of Vancouver</t>
  </si>
  <si>
    <t>Queen Elizabeth Park</t>
  </si>
  <si>
    <t>Harbour Centre Tower</t>
  </si>
  <si>
    <t>665 East 6th Avenue, Suite 316</t>
  </si>
  <si>
    <t>Fantasy Gardens</t>
  </si>
  <si>
    <t>Capilano Suspension Bridge Park</t>
  </si>
  <si>
    <t>2820 Parkview Drive</t>
  </si>
  <si>
    <t>Sealand of the Pacific</t>
  </si>
  <si>
    <t>Saxe Point Park</t>
  </si>
  <si>
    <t>715 Johnson Street</t>
  </si>
  <si>
    <t>Dunsmuir Middle School</t>
  </si>
  <si>
    <t>My Chosen Cafe</t>
  </si>
  <si>
    <t>1296 Boulderpath Road</t>
  </si>
  <si>
    <t>3255 Cook Street, Suite 110</t>
  </si>
  <si>
    <t>Mount McDonald</t>
  </si>
  <si>
    <t>Victoria Hospice</t>
  </si>
  <si>
    <t>Praisings Greenhouse</t>
  </si>
  <si>
    <t>1006 Karen Crescent</t>
  </si>
  <si>
    <t>Mount Wells</t>
  </si>
  <si>
    <t>Craig X Climbing Gym</t>
  </si>
  <si>
    <t>Flemming Beach</t>
  </si>
  <si>
    <t>Spinnakers Brewpub and Guesthous</t>
  </si>
  <si>
    <t>Goodview Restaurant</t>
  </si>
  <si>
    <t>Highrock Park</t>
  </si>
  <si>
    <t>Lampson School</t>
  </si>
  <si>
    <t>Royal Canadian Legion Branch 292</t>
  </si>
  <si>
    <t>Kalalau Valley</t>
  </si>
  <si>
    <t>Poipu Beach</t>
  </si>
  <si>
    <t>Polihale Beach</t>
  </si>
  <si>
    <t>Salt Pond Park</t>
  </si>
  <si>
    <t>Waimea Canyon</t>
  </si>
  <si>
    <t>Keesler Airforce Base</t>
  </si>
  <si>
    <t>Canadian Forces Base Clinton [CFB Clinton]</t>
  </si>
  <si>
    <t>Clinton</t>
  </si>
  <si>
    <t>Cave</t>
  </si>
  <si>
    <t>Elephant</t>
  </si>
  <si>
    <t>Wedding, Celebration</t>
  </si>
  <si>
    <t>Birthday, Celebration</t>
  </si>
  <si>
    <t>Party, Celebration</t>
  </si>
  <si>
    <t>Retirement, Celebration</t>
  </si>
  <si>
    <t>word_lookup</t>
  </si>
  <si>
    <t>word_return</t>
  </si>
  <si>
    <t>Hike, Hiking</t>
  </si>
  <si>
    <t>Camp</t>
  </si>
  <si>
    <t>Anniversary, Celebration</t>
  </si>
  <si>
    <t>Award</t>
  </si>
  <si>
    <t>Cycling</t>
  </si>
  <si>
    <t>Biking</t>
  </si>
  <si>
    <t>Bouldering, Climbing</t>
  </si>
  <si>
    <t>Camosun, School</t>
  </si>
  <si>
    <t>Cyclone Fighting Arts, Martial Arts</t>
  </si>
  <si>
    <t>Dog</t>
  </si>
  <si>
    <t>Dojo, Martial Arts</t>
  </si>
  <si>
    <t>Drawing</t>
  </si>
  <si>
    <t>Drawing, Art</t>
  </si>
  <si>
    <t>Grade 11</t>
  </si>
  <si>
    <t>Grade 12</t>
  </si>
  <si>
    <t>Grade 1</t>
  </si>
  <si>
    <t>Grade 2</t>
  </si>
  <si>
    <t>Grade 3</t>
  </si>
  <si>
    <t>Grade 4</t>
  </si>
  <si>
    <t>Grade 5</t>
  </si>
  <si>
    <t>Grade 6</t>
  </si>
  <si>
    <t>Grade 7</t>
  </si>
  <si>
    <t>Grade 8</t>
  </si>
  <si>
    <t>Grade 9</t>
  </si>
  <si>
    <t>Grade 10</t>
  </si>
  <si>
    <t>Grade 1, School</t>
  </si>
  <si>
    <t>Grade 2, School</t>
  </si>
  <si>
    <t>Grade 3, School</t>
  </si>
  <si>
    <t>Grade 4, School</t>
  </si>
  <si>
    <t>Grade 5, School</t>
  </si>
  <si>
    <t>Grade 6, School</t>
  </si>
  <si>
    <t>Grade 7, School</t>
  </si>
  <si>
    <t>Grade 8, School</t>
  </si>
  <si>
    <t>Grade 9, School</t>
  </si>
  <si>
    <t>Grade 10, School</t>
  </si>
  <si>
    <t>Grade 11, School</t>
  </si>
  <si>
    <t>Grade 12, School</t>
  </si>
  <si>
    <t>Graduation, Celebration</t>
  </si>
  <si>
    <t>High School, School</t>
  </si>
  <si>
    <t>Elementary School</t>
  </si>
  <si>
    <t>Middle School, School</t>
  </si>
  <si>
    <t>Elementary School, School</t>
  </si>
  <si>
    <t>Juncos, Bird, Wildlife</t>
  </si>
  <si>
    <t>Kindergarten, School</t>
  </si>
  <si>
    <t>Luminara, Celebration</t>
  </si>
  <si>
    <t>Monkey, Wildlife</t>
  </si>
  <si>
    <t>Ninjutsu, Martial Arts</t>
  </si>
  <si>
    <t>Painting, Art</t>
  </si>
  <si>
    <t>Snake, Wildlife</t>
  </si>
  <si>
    <t>Tiger, Wildlife</t>
  </si>
  <si>
    <t>University, School</t>
  </si>
  <si>
    <t>Horne Lake</t>
  </si>
  <si>
    <t>Vancouver Island</t>
  </si>
  <si>
    <t>Port Macquarie Airport</t>
  </si>
  <si>
    <t>Blubber Bay</t>
  </si>
  <si>
    <t>Van Anda</t>
  </si>
  <si>
    <t>Canadian Forces Base Chilliwack</t>
  </si>
  <si>
    <t>Swatz Bay Ferry Terminal</t>
  </si>
  <si>
    <t>Abandoned Deertrail Resort</t>
  </si>
  <si>
    <t>Butterfly World, Coombs</t>
  </si>
  <si>
    <t>Spinnakers Brewpub and Guest Houses</t>
  </si>
  <si>
    <t>Church of Assumption, Powell River</t>
  </si>
  <si>
    <t>Ella Beach</t>
  </si>
  <si>
    <t>Lindsay Park</t>
  </si>
  <si>
    <t>Sea Walk</t>
  </si>
  <si>
    <t>Myrtle Rocks Regional Park</t>
  </si>
  <si>
    <t>Ship Island</t>
  </si>
  <si>
    <t>Shields Lake</t>
  </si>
  <si>
    <t>Crabapple Lake</t>
  </si>
  <si>
    <t>Sooke River</t>
  </si>
  <si>
    <t>Mystic Beach</t>
  </si>
  <si>
    <t>Mount Survey</t>
  </si>
  <si>
    <t>China Beach</t>
  </si>
  <si>
    <t>Forbidden Plateau</t>
  </si>
  <si>
    <t>Strathcona Park - Forbidden Plateau</t>
  </si>
  <si>
    <t>Upana Caves</t>
  </si>
  <si>
    <t>Highway</t>
  </si>
  <si>
    <t>Highway 1</t>
  </si>
  <si>
    <t>Mount Albert Edward</t>
  </si>
  <si>
    <t>Albert Edward</t>
  </si>
  <si>
    <t>Mount Arrowsmith</t>
  </si>
  <si>
    <t>Great Ocean Road</t>
  </si>
  <si>
    <t>Landmark</t>
  </si>
  <si>
    <t>12 Apostles</t>
  </si>
  <si>
    <t>Blue Mountains</t>
  </si>
  <si>
    <t>Grampians National Park</t>
  </si>
  <si>
    <t>Mount William</t>
  </si>
  <si>
    <t>Bay of Islands</t>
  </si>
  <si>
    <t>London Bridge</t>
  </si>
  <si>
    <t>The Arch</t>
  </si>
  <si>
    <t>The Blowhole</t>
  </si>
  <si>
    <t>The Grotto</t>
  </si>
  <si>
    <t>Navua River</t>
  </si>
  <si>
    <t>Village</t>
  </si>
  <si>
    <t>Nukusere Village</t>
  </si>
  <si>
    <t>Trail</t>
  </si>
  <si>
    <t>Juan de Fuca Marine Trail</t>
  </si>
  <si>
    <t>Mount Heather</t>
  </si>
  <si>
    <t>Little Qualicum Falls Park</t>
  </si>
  <si>
    <t>Captain Cook Highway</t>
  </si>
  <si>
    <t>Wangetti Beach Gatz Balancing Rocks</t>
  </si>
  <si>
    <t>Muir Creek</t>
  </si>
  <si>
    <t>West Coast</t>
  </si>
  <si>
    <t>Sound</t>
  </si>
  <si>
    <t>Desolation Sound</t>
  </si>
  <si>
    <t>Navua</t>
  </si>
  <si>
    <t>209 Reece Avenue [Now 45723 - Uncle Ernie's]</t>
  </si>
  <si>
    <t>Edward</t>
  </si>
  <si>
    <t>Harold</t>
  </si>
  <si>
    <t>Doris</t>
  </si>
  <si>
    <t>Vivienne</t>
  </si>
  <si>
    <t>Currie</t>
  </si>
  <si>
    <t>Alfred</t>
  </si>
  <si>
    <t>Eileen Morford [Aunt Dot]</t>
  </si>
  <si>
    <t>Ovans</t>
  </si>
  <si>
    <t>Peggy</t>
  </si>
  <si>
    <t>Sheaton</t>
  </si>
  <si>
    <t>Russela</t>
  </si>
  <si>
    <t>Russela [Rusty] Carey</t>
  </si>
  <si>
    <t>Cathy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</si>
</sst>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D1D5DB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33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3">
    <xf numFmtId="0" fontId="0" fillId="0" borderId="0" xfId="0"/>
    <xf numFmtId="0" fontId="18" fillId="0" borderId="0" xfId="0" applyFont="1"/>
    <xf numFmtId="14" fontId="0" fillId="0" borderId="0" xfId="0" applyNumberFormat="1"/>
    <xf numFmtId="0" fontId="20" fillId="0" borderId="0" xfId="42"/>
    <xf numFmtId="164" fontId="0" fillId="0" borderId="0" xfId="0" applyNumberFormat="1"/>
    <xf numFmtId="0" fontId="0" fillId="33" borderId="0" xfId="0" applyFill="1"/>
    <xf numFmtId="1" fontId="0" fillId="0" borderId="0" xfId="0" applyNumberFormat="1"/>
    <xf numFmtId="0" fontId="0" fillId="34" borderId="0" xfId="0" applyFill="1"/>
    <xf numFmtId="14" fontId="0" fillId="34" borderId="0" xfId="0" applyNumberFormat="1" applyFill="1"/>
    <xf numFmtId="21" fontId="0" fillId="0" borderId="0" xfId="0" applyNumberFormat="1"/>
    <xf numFmtId="46" fontId="0" fillId="0" borderId="0" xfId="0" applyNumberFormat="1"/>
    <xf numFmtId="0" fontId="20" fillId="0" borderId="0" xfId="42" applyNumberFormat="1"/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yyyy/mm/dd"/>
    </dxf>
    <dxf>
      <numFmt numFmtId="19" formatCode="yyyy/mm/dd"/>
    </dxf>
    <dxf>
      <numFmt numFmtId="19" formatCode="yyyy/mm/dd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65" formatCode="m/d/yyyy"/>
    </dxf>
    <dxf>
      <numFmt numFmtId="0" formatCode="General"/>
    </dxf>
  </dxfs>
  <tableStyles count="0" defaultTableStyle="TableStyleMedium2" defaultPivotStyle="PivotStyleLight16"/>
  <colors>
    <mruColors>
      <color rgb="FFFF3300"/>
      <color rgb="FFFFF5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152400</xdr:rowOff>
    </xdr:from>
    <xdr:to>
      <xdr:col>1</xdr:col>
      <xdr:colOff>1419225</xdr:colOff>
      <xdr:row>1</xdr:row>
      <xdr:rowOff>504825</xdr:rowOff>
    </xdr:to>
    <xdr:sp macro="[0]!ReindexNameI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5583B7-B73C-1ADE-00B7-B83A1ACFA935}"/>
            </a:ext>
          </a:extLst>
        </xdr:cNvPr>
        <xdr:cNvSpPr/>
      </xdr:nvSpPr>
      <xdr:spPr>
        <a:xfrm>
          <a:off x="133350" y="152400"/>
          <a:ext cx="2190750" cy="542925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Re-Index NameIDs</a:t>
          </a:r>
        </a:p>
      </xdr:txBody>
    </xdr:sp>
    <xdr:clientData/>
  </xdr:twoCellAnchor>
  <xdr:twoCellAnchor>
    <xdr:from>
      <xdr:col>1</xdr:col>
      <xdr:colOff>1524000</xdr:colOff>
      <xdr:row>0</xdr:row>
      <xdr:rowOff>161925</xdr:rowOff>
    </xdr:from>
    <xdr:to>
      <xdr:col>3</xdr:col>
      <xdr:colOff>238125</xdr:colOff>
      <xdr:row>1</xdr:row>
      <xdr:rowOff>495300</xdr:rowOff>
    </xdr:to>
    <xdr:sp macro="[0]!ExportTablesTo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CF7FB0-61EB-5B10-313F-16B7C87993BC}"/>
            </a:ext>
          </a:extLst>
        </xdr:cNvPr>
        <xdr:cNvSpPr/>
      </xdr:nvSpPr>
      <xdr:spPr>
        <a:xfrm>
          <a:off x="2428875" y="161925"/>
          <a:ext cx="2324100" cy="5238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Generate CSV Lookup Files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195C14-8D4B-41A1-869F-93B4BE28D973}" name="Index_of_People" displayName="Index_of_People" ref="A4:P379" totalsRowShown="0" headerRowDxfId="23">
  <autoFilter ref="A4:P379" xr:uid="{00000000-0009-0000-0000-000000000000}"/>
  <tableColumns count="16">
    <tableColumn id="2" xr3:uid="{06C285B8-5190-478B-A934-C46D6DEDB9AD}" name="NameID" dataDxfId="22"/>
    <tableColumn id="17" xr3:uid="{EE64CF26-BF16-4DDE-ADB2-9224FF868765}" name="Prefer NickName" dataDxfId="21"/>
    <tableColumn id="15" xr3:uid="{8C7AA6CD-FCB7-40C4-B7F7-744B8053E428}" name="Metadata Name" dataDxfId="20">
      <calculatedColumnFormula>_xlfn.LET(
_xlpm.FamilyName,IF(F5="","",F5)&amp;IF(G5="",""," "&amp;G5)&amp;IF(H5="",""," "&amp;H5),
_xlpm.MarriedName,IF(F5="","",F5)&amp;IF(G5="",""," "&amp;G5)&amp;IF(I5="",""," "&amp;I5)&amp;IF(H5="",""," "&amp;"("&amp;H5)&amp;")",
TRIM(IF(Index_of_People[[#This Row],[Prefer NickName]]=TRUE,Index_of_People[[#This Row],[Nick Names]],
IF(I5&lt;&gt;"",_xlpm.MarriedName,_xlpm.FamilyName))))</calculatedColumnFormula>
    </tableColumn>
    <tableColumn id="1" xr3:uid="{DFEDF057-FEF4-4B39-A242-5FD89D2D0DB7}" name="Column1" dataDxfId="19"/>
    <tableColumn id="14" xr3:uid="{32FC4819-F62F-4E2A-963B-AE7D29CC5C31}" name="Title"/>
    <tableColumn id="4" xr3:uid="{14ED1EA9-B677-42B7-98F2-25053D2F0937}" name="First Name"/>
    <tableColumn id="5" xr3:uid="{DB4199D5-98C5-4D78-B2F7-9485F5F7474A}" name="Middle Name"/>
    <tableColumn id="6" xr3:uid="{52F12019-0FC5-4058-BB1F-960F7220B77F}" name="Last Name"/>
    <tableColumn id="7" xr3:uid="{9F01EF58-1DC6-4FCD-A93F-8AF37DD1E55F}" name="Married Names"/>
    <tableColumn id="8" xr3:uid="{413C38D3-34AC-4D83-8C3C-549DF5735CAE}" name="Nick Names"/>
    <tableColumn id="21" xr3:uid="{1FAAF626-B69C-4796-8CEB-9166AD9C07DB}" name="Spouse Name" dataDxfId="18">
      <calculatedColumnFormula>IF(Index_of_People[[#This Row],[SpouseID]]="","",IFERROR(INDEX(Index_of_People[Metadata Name],MATCH(Index_of_People[[#This Row],[SpouseID]],Index_of_People[NameID],0)),""))</calculatedColumnFormula>
    </tableColumn>
    <tableColumn id="20" xr3:uid="{3A435F26-B332-460D-9050-E07E5C524971}" name="SpouseID" dataDxfId="17"/>
    <tableColumn id="9" xr3:uid="{11FB0DCE-5E52-4A21-9ABD-27D7FFC9E744}" name="Date - Birth" dataDxfId="16"/>
    <tableColumn id="10" xr3:uid="{E96DE87C-651B-4486-A9B8-95FE450B1BA4}" name="Date - Marriage" dataDxfId="15"/>
    <tableColumn id="11" xr3:uid="{040345B2-637E-4D35-A9D0-8C6E44AD3FA7}" name="Date - Death" dataDxfId="14"/>
    <tableColumn id="13" xr3:uid="{E6640AC6-FFF8-4D66-BA4A-8B62BFB36547}" name="Famil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848CC1-5C03-4848-B2E9-465FCBCE1CAC}" name="Index_of_Locations" displayName="Index_of_Locations" ref="A4:AC698" totalsRowShown="0">
  <autoFilter ref="A4:AC698" xr:uid="{1C848CC1-5C03-4848-B2E9-465FCBCE1CAC}"/>
  <tableColumns count="29">
    <tableColumn id="1" xr3:uid="{ED0570BF-CE32-4883-A98B-D03BCF10EBD8}" name="Location"/>
    <tableColumn id="9" xr3:uid="{CBF0848C-C013-44A7-AF97-4005060E62FA}" name="City"/>
    <tableColumn id="10" xr3:uid="{139B57CC-00CB-4E5A-9833-E1075412AD27}" name="State"/>
    <tableColumn id="17" xr3:uid="{E355FBA1-E51F-4F73-AC0D-ED8CCC31D114}" name="Country"/>
    <tableColumn id="20" xr3:uid="{3FA9DB78-7FF6-49C9-9F93-85D84B1BC9F7}" name="CountryCode"/>
    <tableColumn id="22" xr3:uid="{15C2D6DE-9DD6-4C5F-AE76-EAE2ABEEF217}" name="Locality"/>
    <tableColumn id="23" xr3:uid="{2A4DE9AC-7119-454D-8AEA-F90F90F47E26}" name="LocalityGeneral"/>
    <tableColumn id="24" xr3:uid="{1868833D-E653-48ED-AEEF-95230BF3503A}" name="LocalitySpecific"/>
    <tableColumn id="25" xr3:uid="{582B40CE-809E-46DF-94E4-1B0F1D1DCCD4}" name="LocalityType"/>
    <tableColumn id="26" xr3:uid="{B1A7B048-5AB3-4158-9E58-06D30E363ED6}" name="GPSAltitude"/>
    <tableColumn id="27" xr3:uid="{188CC620-409C-48F9-84F2-30AC9242E278}" name="GPSAltitudeRef"/>
    <tableColumn id="28" xr3:uid="{5ABA9A87-5B74-485D-80B5-DCAF52423EA9}" name="GPSDestBearing"/>
    <tableColumn id="29" xr3:uid="{2458CFE3-E4CD-4096-B861-4B64667B86A4}" name="GPSDestBearingRef"/>
    <tableColumn id="30" xr3:uid="{BA7B44A9-B177-47D8-884A-08A360D76060}" name="GPSDOP"/>
    <tableColumn id="31" xr3:uid="{198CCBD1-482A-401F-AC2C-7CAE087ED742}" name="GPSHPositioningError"/>
    <tableColumn id="32" xr3:uid="{8618389C-9D19-464C-98C9-24F368E6D86F}" name="GPSImgDirection"/>
    <tableColumn id="33" xr3:uid="{20F93A3E-610D-486D-8531-173486D6A337}" name="GPSImgDirectionRef"/>
    <tableColumn id="34" xr3:uid="{EA99CEF6-DDE7-4F6C-A644-D5FD68CA07A7}" name="GPSLatitude"/>
    <tableColumn id="35" xr3:uid="{D0826061-0962-404F-8676-0EAA638CA034}" name="GPSLatitudeRef"/>
    <tableColumn id="36" xr3:uid="{7310AB42-EE24-4A76-849E-9D4F7D619F1B}" name="GPSLongitude"/>
    <tableColumn id="37" xr3:uid="{C3A41941-3EE8-49CE-999F-263D760DB369}" name="GPSLongitudeRef"/>
    <tableColumn id="38" xr3:uid="{0D9DCD75-4521-428E-801A-DB30EAD10407}" name="GPSMapDatum"/>
    <tableColumn id="39" xr3:uid="{5E11A506-6A48-4BAD-AD7C-99D96633C734}" name="GPSProcessingMethod"/>
    <tableColumn id="40" xr3:uid="{8CFDCE50-3F77-4CB7-9756-8AF42F470C16}" name="GPSSpeed"/>
    <tableColumn id="41" xr3:uid="{688867E6-4E40-46C2-AFDB-16FF68C27623}" name="GPSSpeedRef"/>
    <tableColumn id="42" xr3:uid="{23276182-9517-447B-9B3B-677010C173FF}" name="GPSTimeStamp"/>
    <tableColumn id="43" xr3:uid="{851E8EDC-7285-438A-B27C-D95477739074}" name="GPSVersionID"/>
    <tableColumn id="44" xr3:uid="{CF2CB395-2BD0-46F2-8E60-AA749A7382BF}" name="Threshold"/>
    <tableColumn id="45" xr3:uid="{DF6B22F2-DBB2-4FDD-9A63-379BBB7C5B42}" name="Show on Map" dataDxfId="24">
      <calculatedColumnFormula>IF(Index_of_Locations[[#This Row],[GPSLatitude]]="","",HYPERLINK("https://www.google.com/maps/search/"&amp;Index_of_Locations[[#This Row],[GPSLatitude]]&amp;","&amp;Index_of_Locations[[#This Row],[GPSLongitude]],"Show on Map"))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73395E-CE69-478F-A3DD-4C42625B2940}" name="Table2" displayName="Table2" ref="A1:C206" totalsRowShown="0">
  <autoFilter ref="A1:C206" xr:uid="{CB73395E-CE69-478F-A3DD-4C42625B2940}"/>
  <sortState xmlns:xlrd2="http://schemas.microsoft.com/office/spreadsheetml/2017/richdata2" ref="A2:C206">
    <sortCondition ref="A1:A206"/>
  </sortState>
  <tableColumns count="3">
    <tableColumn id="1" xr3:uid="{169ADAE1-9646-4861-843A-562FD7A89171}" name="word_lookup"/>
    <tableColumn id="2" xr3:uid="{166F493A-CDA7-4FD9-88BD-FD52F90F6B25}" name="word_return"/>
    <tableColumn id="3" xr3:uid="{EC5F07A9-BBBC-4A91-8164-481E9170A5FC}" name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79"/>
  <sheetViews>
    <sheetView tabSelected="1" workbookViewId="0">
      <pane ySplit="4" topLeftCell="A191" activePane="bottomLeft" state="frozen"/>
      <selection pane="bottomLeft" activeCell="A206" sqref="A206:XFD206"/>
    </sheetView>
  </sheetViews>
  <sheetFormatPr defaultRowHeight="15" x14ac:dyDescent="0.25"/>
  <cols>
    <col min="1" max="1" width="13.5703125" customWidth="1"/>
    <col min="2" max="2" width="26" customWidth="1"/>
    <col min="3" max="3" width="28.140625" customWidth="1"/>
    <col min="4" max="4" width="12.85546875" customWidth="1"/>
    <col min="5" max="5" width="17" customWidth="1"/>
    <col min="6" max="6" width="16.28515625" customWidth="1"/>
    <col min="7" max="7" width="17" customWidth="1"/>
    <col min="8" max="8" width="17.28515625" customWidth="1"/>
    <col min="9" max="9" width="22.140625" customWidth="1"/>
    <col min="10" max="10" width="35.7109375" style="2" customWidth="1"/>
    <col min="11" max="11" width="33.28515625" style="2" customWidth="1"/>
    <col min="12" max="12" width="13.85546875" style="2" customWidth="1"/>
    <col min="13" max="15" width="15.28515625" style="2" customWidth="1"/>
    <col min="16" max="16" width="26.42578125" customWidth="1"/>
  </cols>
  <sheetData>
    <row r="1" spans="1:16" s="7" customFormat="1" x14ac:dyDescent="0.25">
      <c r="J1" s="8"/>
      <c r="K1" s="8"/>
      <c r="L1" s="8"/>
      <c r="M1" s="8"/>
      <c r="N1" s="8"/>
      <c r="O1" s="8"/>
    </row>
    <row r="2" spans="1:16" s="7" customFormat="1" ht="40.5" customHeight="1" x14ac:dyDescent="0.25">
      <c r="J2" s="8"/>
      <c r="K2" s="8"/>
      <c r="L2" s="8"/>
      <c r="M2" s="8"/>
      <c r="N2" s="8"/>
      <c r="O2" s="8"/>
    </row>
    <row r="3" spans="1:16" s="7" customFormat="1" x14ac:dyDescent="0.25">
      <c r="M3" s="8"/>
      <c r="N3" s="8"/>
      <c r="O3" s="8"/>
    </row>
    <row r="4" spans="1:16" ht="17.25" x14ac:dyDescent="0.3">
      <c r="A4" s="1" t="s">
        <v>1216</v>
      </c>
      <c r="B4" s="1" t="s">
        <v>1226</v>
      </c>
      <c r="C4" t="s">
        <v>1215</v>
      </c>
      <c r="D4" t="s">
        <v>1327</v>
      </c>
      <c r="E4" t="s">
        <v>497</v>
      </c>
      <c r="F4" t="s">
        <v>73</v>
      </c>
      <c r="G4" t="s">
        <v>75</v>
      </c>
      <c r="H4" t="s">
        <v>74</v>
      </c>
      <c r="I4" t="s">
        <v>456</v>
      </c>
      <c r="J4" t="s">
        <v>457</v>
      </c>
      <c r="K4" s="5" t="s">
        <v>1340</v>
      </c>
      <c r="L4" s="2" t="s">
        <v>1218</v>
      </c>
      <c r="M4" s="2" t="s">
        <v>76</v>
      </c>
      <c r="N4" s="2" t="s">
        <v>77</v>
      </c>
      <c r="O4" s="2" t="s">
        <v>78</v>
      </c>
      <c r="P4" t="s">
        <v>79</v>
      </c>
    </row>
    <row r="5" spans="1:16" x14ac:dyDescent="0.25">
      <c r="A5" s="6">
        <v>0</v>
      </c>
      <c r="B5" s="6" t="b">
        <v>1</v>
      </c>
      <c r="C5" t="str">
        <f>_xlfn.LET(
_xlpm.FamilyName,IF(F5="","",F5)&amp;IF(G5="",""," "&amp;G5)&amp;IF(H5="",""," "&amp;H5),
_xlpm.MarriedName,IF(F5="","",F5)&amp;IF(G5="",""," "&amp;G5)&amp;IF(I5="",""," "&amp;I5)&amp;IF(H5="",""," "&amp;"("&amp;H5)&amp;")",
TRIM(IF(Index_of_People[[#This Row],[Prefer NickName]]=TRUE,Index_of_People[[#This Row],[Nick Names]],
IF(I5&lt;&gt;"",_xlpm.MarriedName,_xlpm.FamilyName))))</f>
        <v>Don's cousin's husband</v>
      </c>
      <c r="D5" t="b">
        <v>0</v>
      </c>
      <c r="J5" t="s">
        <v>45</v>
      </c>
      <c r="K5" t="str">
        <f>IF(Index_of_People[[#This Row],[SpouseID]]="","",IFERROR(INDEX(Index_of_People[Metadata Name],MATCH(Index_of_People[[#This Row],[SpouseID]],Index_of_People[NameID],0)),""))</f>
        <v/>
      </c>
      <c r="L5" s="6"/>
      <c r="M5" s="2" t="s">
        <v>490</v>
      </c>
      <c r="N5" s="2" t="s">
        <v>490</v>
      </c>
      <c r="O5" s="2" t="s">
        <v>490</v>
      </c>
      <c r="P5" t="b">
        <v>0</v>
      </c>
    </row>
    <row r="6" spans="1:16" x14ac:dyDescent="0.25">
      <c r="A6" s="6">
        <v>1</v>
      </c>
      <c r="B6" s="6" t="b">
        <v>1</v>
      </c>
      <c r="C6" t="str">
        <f>_xlfn.LET(
_xlpm.FamilyName,IF(F6="","",F6)&amp;IF(G6="",""," "&amp;G6)&amp;IF(H6="",""," "&amp;H6),
_xlpm.MarriedName,IF(F6="","",F6)&amp;IF(G6="",""," "&amp;G6)&amp;IF(I6="",""," "&amp;I6)&amp;IF(H6="",""," "&amp;"("&amp;H6)&amp;")",
TRIM(IF(Index_of_People[[#This Row],[Prefer NickName]]=TRUE,Index_of_People[[#This Row],[Nick Names]],
IF(I6&lt;&gt;"",_xlpm.MarriedName,_xlpm.FamilyName))))</f>
        <v>Ship Captain</v>
      </c>
      <c r="D6" t="b">
        <v>0</v>
      </c>
      <c r="J6" t="s">
        <v>498</v>
      </c>
      <c r="K6" t="str">
        <f>IF(Index_of_People[[#This Row],[SpouseID]]="","",IFERROR(INDEX(Index_of_People[Metadata Name],MATCH(Index_of_People[[#This Row],[SpouseID]],Index_of_People[NameID],0)),""))</f>
        <v/>
      </c>
      <c r="L6" s="6"/>
      <c r="M6" s="2" t="s">
        <v>490</v>
      </c>
      <c r="N6" s="2" t="s">
        <v>490</v>
      </c>
      <c r="O6" s="2" t="s">
        <v>490</v>
      </c>
      <c r="P6" t="b">
        <v>0</v>
      </c>
    </row>
    <row r="7" spans="1:16" x14ac:dyDescent="0.25">
      <c r="A7" s="6">
        <v>2</v>
      </c>
      <c r="B7" s="6" t="b">
        <v>1</v>
      </c>
      <c r="C7" t="str">
        <f>_xlfn.LET(
_xlpm.FamilyName,IF(F7="","",F7)&amp;IF(G7="",""," "&amp;G7)&amp;IF(H7="",""," "&amp;H7),
_xlpm.MarriedName,IF(F7="","",F7)&amp;IF(G7="",""," "&amp;G7)&amp;IF(I7="",""," "&amp;I7)&amp;IF(H7="",""," "&amp;"("&amp;H7)&amp;")",
TRIM(IF(Index_of_People[[#This Row],[Prefer NickName]]=TRUE,Index_of_People[[#This Row],[Nick Names]],
IF(I7&lt;&gt;"",_xlpm.MarriedName,_xlpm.FamilyName))))</f>
        <v>Ship Hostess</v>
      </c>
      <c r="D7" t="b">
        <v>0</v>
      </c>
      <c r="J7" t="s">
        <v>499</v>
      </c>
      <c r="K7" t="str">
        <f>IF(Index_of_People[[#This Row],[SpouseID]]="","",IFERROR(INDEX(Index_of_People[Metadata Name],MATCH(Index_of_People[[#This Row],[SpouseID]],Index_of_People[NameID],0)),""))</f>
        <v/>
      </c>
      <c r="L7" s="6"/>
      <c r="M7" s="2" t="s">
        <v>490</v>
      </c>
      <c r="N7" s="2" t="s">
        <v>490</v>
      </c>
      <c r="O7" s="2" t="s">
        <v>490</v>
      </c>
      <c r="P7" t="b">
        <v>0</v>
      </c>
    </row>
    <row r="8" spans="1:16" x14ac:dyDescent="0.25">
      <c r="A8" s="6">
        <v>3</v>
      </c>
      <c r="B8" s="6" t="b">
        <v>1</v>
      </c>
      <c r="C8" t="str">
        <f>_xlfn.LET(
_xlpm.FamilyName,IF(F8="","",F8)&amp;IF(G8="",""," "&amp;G8)&amp;IF(H8="",""," "&amp;H8),
_xlpm.MarriedName,IF(F8="","",F8)&amp;IF(G8="",""," "&amp;G8)&amp;IF(I8="",""," "&amp;I8)&amp;IF(H8="",""," "&amp;"("&amp;H8)&amp;")",
TRIM(IF(Index_of_People[[#This Row],[Prefer NickName]]=TRUE,Index_of_People[[#This Row],[Nick Names]],
IF(I8&lt;&gt;"",_xlpm.MarriedName,_xlpm.FamilyName))))</f>
        <v>Sleazebag Entertainment Director</v>
      </c>
      <c r="D8" t="b">
        <v>0</v>
      </c>
      <c r="J8" t="s">
        <v>68</v>
      </c>
      <c r="K8" t="str">
        <f>IF(Index_of_People[[#This Row],[SpouseID]]="","",IFERROR(INDEX(Index_of_People[Metadata Name],MATCH(Index_of_People[[#This Row],[SpouseID]],Index_of_People[NameID],0)),""))</f>
        <v/>
      </c>
      <c r="L8" s="6"/>
      <c r="M8" s="2" t="s">
        <v>490</v>
      </c>
      <c r="N8" s="2" t="s">
        <v>490</v>
      </c>
      <c r="O8" s="2" t="s">
        <v>490</v>
      </c>
      <c r="P8" t="b">
        <v>0</v>
      </c>
    </row>
    <row r="9" spans="1:16" x14ac:dyDescent="0.25">
      <c r="A9" s="6">
        <v>4</v>
      </c>
      <c r="B9" s="6" t="b">
        <v>1</v>
      </c>
      <c r="C9" t="str">
        <f>_xlfn.LET(
_xlpm.FamilyName,IF(F9="","",F9)&amp;IF(G9="",""," "&amp;G9)&amp;IF(H9="",""," "&amp;H9),
_xlpm.MarriedName,IF(F9="","",F9)&amp;IF(G9="",""," "&amp;G9)&amp;IF(I9="",""," "&amp;I9)&amp;IF(H9="",""," "&amp;"("&amp;H9)&amp;")",
TRIM(IF(Index_of_People[[#This Row],[Prefer NickName]]=TRUE,Index_of_People[[#This Row],[Nick Names]],
IF(I9&lt;&gt;"",_xlpm.MarriedName,_xlpm.FamilyName))))</f>
        <v>Previous Ship Hostess</v>
      </c>
      <c r="D9" t="b">
        <v>0</v>
      </c>
      <c r="J9" t="s">
        <v>61</v>
      </c>
      <c r="K9" t="str">
        <f>IF(Index_of_People[[#This Row],[SpouseID]]="","",IFERROR(INDEX(Index_of_People[Metadata Name],MATCH(Index_of_People[[#This Row],[SpouseID]],Index_of_People[NameID],0)),""))</f>
        <v/>
      </c>
      <c r="L9" s="6"/>
      <c r="M9" s="2" t="s">
        <v>490</v>
      </c>
      <c r="N9" s="2" t="s">
        <v>490</v>
      </c>
      <c r="O9" s="2" t="s">
        <v>490</v>
      </c>
      <c r="P9" t="b">
        <v>0</v>
      </c>
    </row>
    <row r="10" spans="1:16" x14ac:dyDescent="0.25">
      <c r="A10" s="6">
        <v>5</v>
      </c>
      <c r="B10" s="6" t="b">
        <v>1</v>
      </c>
      <c r="C10" t="str">
        <f>_xlfn.LET(
_xlpm.FamilyName,IF(F10="","",F10)&amp;IF(G10="",""," "&amp;G10)&amp;IF(H10="",""," "&amp;H10),
_xlpm.MarriedName,IF(F10="","",F10)&amp;IF(G10="",""," "&amp;G10)&amp;IF(I10="",""," "&amp;I10)&amp;IF(H10="",""," "&amp;"("&amp;H10)&amp;")",
TRIM(IF(Index_of_People[[#This Row],[Prefer NickName]]=TRUE,Index_of_People[[#This Row],[Nick Names]],
IF(I10&lt;&gt;"",_xlpm.MarriedName,_xlpm.FamilyName))))</f>
        <v>Unitarian Church pastor</v>
      </c>
      <c r="D10" t="b">
        <v>0</v>
      </c>
      <c r="J10" t="s">
        <v>22</v>
      </c>
      <c r="K10" t="str">
        <f>IF(Index_of_People[[#This Row],[SpouseID]]="","",IFERROR(INDEX(Index_of_People[Metadata Name],MATCH(Index_of_People[[#This Row],[SpouseID]],Index_of_People[NameID],0)),""))</f>
        <v/>
      </c>
      <c r="L10" s="6"/>
      <c r="M10" s="2" t="s">
        <v>490</v>
      </c>
      <c r="N10" s="2" t="s">
        <v>490</v>
      </c>
      <c r="O10" s="2" t="s">
        <v>490</v>
      </c>
      <c r="P10" t="b">
        <v>0</v>
      </c>
    </row>
    <row r="11" spans="1:16" x14ac:dyDescent="0.25">
      <c r="A11" s="6">
        <v>6</v>
      </c>
      <c r="B11" s="6" t="b">
        <v>0</v>
      </c>
      <c r="C11" t="str">
        <f>_xlfn.LET(
_xlpm.FamilyName,IF(F11="","",F11)&amp;IF(G11="",""," "&amp;G11)&amp;IF(H11="",""," "&amp;H11),
_xlpm.MarriedName,IF(F11="","",F11)&amp;IF(G11="",""," "&amp;G11)&amp;IF(I11="",""," "&amp;I11)&amp;IF(H11="",""," "&amp;"("&amp;H11)&amp;")",
TRIM(IF(Index_of_People[[#This Row],[Prefer NickName]]=TRUE,Index_of_People[[#This Row],[Nick Names]],
IF(I11&lt;&gt;"",_xlpm.MarriedName,_xlpm.FamilyName))))</f>
        <v>Aaron Bennett</v>
      </c>
      <c r="D11" t="b">
        <v>1</v>
      </c>
      <c r="F11" t="s">
        <v>80</v>
      </c>
      <c r="G11" t="s">
        <v>490</v>
      </c>
      <c r="H11" t="s">
        <v>292</v>
      </c>
      <c r="I11" t="s">
        <v>490</v>
      </c>
      <c r="J11" t="s">
        <v>490</v>
      </c>
      <c r="K11" t="str">
        <f>IF(Index_of_People[[#This Row],[SpouseID]]="","",IFERROR(INDEX(Index_of_People[Metadata Name],MATCH(Index_of_People[[#This Row],[SpouseID]],Index_of_People[NameID],0)),""))</f>
        <v/>
      </c>
      <c r="L11" s="6"/>
      <c r="M11" s="2" t="s">
        <v>490</v>
      </c>
      <c r="N11" s="2" t="s">
        <v>490</v>
      </c>
      <c r="O11" s="2" t="s">
        <v>490</v>
      </c>
      <c r="P11" t="b">
        <v>0</v>
      </c>
    </row>
    <row r="12" spans="1:16" x14ac:dyDescent="0.25">
      <c r="A12" s="6">
        <v>7</v>
      </c>
      <c r="B12" s="6" t="b">
        <v>0</v>
      </c>
      <c r="C12" t="str">
        <f>_xlfn.LET(
_xlpm.FamilyName,IF(F12="","",F12)&amp;IF(G12="",""," "&amp;G12)&amp;IF(H12="",""," "&amp;H12),
_xlpm.MarriedName,IF(F12="","",F12)&amp;IF(G12="",""," "&amp;G12)&amp;IF(I12="",""," "&amp;I12)&amp;IF(H12="",""," "&amp;"("&amp;H12)&amp;")",
TRIM(IF(Index_of_People[[#This Row],[Prefer NickName]]=TRUE,Index_of_People[[#This Row],[Nick Names]],
IF(I12&lt;&gt;"",_xlpm.MarriedName,_xlpm.FamilyName))))</f>
        <v>Al Szczawinski</v>
      </c>
      <c r="D12" t="b">
        <v>1</v>
      </c>
      <c r="F12" t="s">
        <v>81</v>
      </c>
      <c r="H12" t="s">
        <v>293</v>
      </c>
      <c r="J12"/>
      <c r="K12" t="str">
        <f>IF(Index_of_People[[#This Row],[SpouseID]]="","",IFERROR(INDEX(Index_of_People[Metadata Name],MATCH(Index_of_People[[#This Row],[SpouseID]],Index_of_People[NameID],0)),""))</f>
        <v/>
      </c>
      <c r="L12" s="6"/>
      <c r="M12" s="2" t="s">
        <v>490</v>
      </c>
      <c r="N12" s="2" t="s">
        <v>490</v>
      </c>
      <c r="O12" s="2" t="s">
        <v>490</v>
      </c>
      <c r="P12" t="b">
        <v>0</v>
      </c>
    </row>
    <row r="13" spans="1:16" x14ac:dyDescent="0.25">
      <c r="A13" s="6">
        <v>8</v>
      </c>
      <c r="B13" s="6" t="b">
        <v>0</v>
      </c>
      <c r="C13" t="str">
        <f>_xlfn.LET(
_xlpm.FamilyName,IF(F13="","",F13)&amp;IF(G13="",""," "&amp;G13)&amp;IF(H13="",""," "&amp;H13),
_xlpm.MarriedName,IF(F13="","",F13)&amp;IF(G13="",""," "&amp;G13)&amp;IF(I13="",""," "&amp;I13)&amp;IF(H13="",""," "&amp;"("&amp;H13)&amp;")",
TRIM(IF(Index_of_People[[#This Row],[Prefer NickName]]=TRUE,Index_of_People[[#This Row],[Nick Names]],
IF(I13&lt;&gt;"",_xlpm.MarriedName,_xlpm.FamilyName))))</f>
        <v>Alan</v>
      </c>
      <c r="D13" t="b">
        <v>0</v>
      </c>
      <c r="F13" t="s">
        <v>37</v>
      </c>
      <c r="J13"/>
      <c r="K13" t="str">
        <f>IF(Index_of_People[[#This Row],[SpouseID]]="","",IFERROR(INDEX(Index_of_People[Metadata Name],MATCH(Index_of_People[[#This Row],[SpouseID]],Index_of_People[NameID],0)),""))</f>
        <v/>
      </c>
      <c r="L13" s="6"/>
      <c r="M13" s="2" t="s">
        <v>490</v>
      </c>
      <c r="N13" s="2" t="s">
        <v>490</v>
      </c>
      <c r="O13" s="2" t="s">
        <v>490</v>
      </c>
      <c r="P13" t="b">
        <v>0</v>
      </c>
    </row>
    <row r="14" spans="1:16" x14ac:dyDescent="0.25">
      <c r="A14" s="6">
        <v>9</v>
      </c>
      <c r="B14" s="6" t="b">
        <v>0</v>
      </c>
      <c r="C14" t="str">
        <f>_xlfn.LET(
_xlpm.FamilyName,IF(F14="","",F14)&amp;IF(G14="",""," "&amp;G14)&amp;IF(H14="",""," "&amp;H14),
_xlpm.MarriedName,IF(F14="","",F14)&amp;IF(G14="",""," "&amp;G14)&amp;IF(I14="",""," "&amp;I14)&amp;IF(H14="",""," "&amp;"("&amp;H14)&amp;")",
TRIM(IF(Index_of_People[[#This Row],[Prefer NickName]]=TRUE,Index_of_People[[#This Row],[Nick Names]],
IF(I14&lt;&gt;"",_xlpm.MarriedName,_xlpm.FamilyName))))</f>
        <v>Alan Ernest Penner</v>
      </c>
      <c r="D14" t="b">
        <v>1</v>
      </c>
      <c r="F14" t="s">
        <v>37</v>
      </c>
      <c r="G14" t="s">
        <v>294</v>
      </c>
      <c r="H14" t="s">
        <v>295</v>
      </c>
      <c r="J14"/>
      <c r="K14" t="str">
        <f>IF(Index_of_People[[#This Row],[SpouseID]]="","",IFERROR(INDEX(Index_of_People[Metadata Name],MATCH(Index_of_People[[#This Row],[SpouseID]],Index_of_People[NameID],0)),""))</f>
        <v/>
      </c>
      <c r="L14" s="6"/>
      <c r="M14" s="2">
        <v>24243</v>
      </c>
      <c r="P14" t="b">
        <v>1</v>
      </c>
    </row>
    <row r="15" spans="1:16" x14ac:dyDescent="0.25">
      <c r="A15" s="6">
        <v>10</v>
      </c>
      <c r="B15" s="6" t="b">
        <v>0</v>
      </c>
      <c r="C15" t="str">
        <f>_xlfn.LET(
_xlpm.FamilyName,IF(F15="","",F15)&amp;IF(G15="",""," "&amp;G15)&amp;IF(H15="",""," "&amp;H15),
_xlpm.MarriedName,IF(F15="","",F15)&amp;IF(G15="",""," "&amp;G15)&amp;IF(I15="",""," "&amp;I15)&amp;IF(H15="",""," "&amp;"("&amp;H15)&amp;")",
TRIM(IF(Index_of_People[[#This Row],[Prefer NickName]]=TRUE,Index_of_People[[#This Row],[Nick Names]],
IF(I15&lt;&gt;"",_xlpm.MarriedName,_xlpm.FamilyName))))</f>
        <v>Alan Greenwood</v>
      </c>
      <c r="D15" t="b">
        <v>1</v>
      </c>
      <c r="F15" t="s">
        <v>37</v>
      </c>
      <c r="H15" t="s">
        <v>0</v>
      </c>
      <c r="J15"/>
      <c r="K15" t="str">
        <f>IF(Index_of_People[[#This Row],[SpouseID]]="","",IFERROR(INDEX(Index_of_People[Metadata Name],MATCH(Index_of_People[[#This Row],[SpouseID]],Index_of_People[NameID],0)),""))</f>
        <v/>
      </c>
      <c r="L15" s="6"/>
      <c r="M15" s="2">
        <v>15264</v>
      </c>
      <c r="P15" t="b">
        <v>1</v>
      </c>
    </row>
    <row r="16" spans="1:16" x14ac:dyDescent="0.25">
      <c r="A16" s="6">
        <v>11</v>
      </c>
      <c r="B16" s="6" t="b">
        <v>0</v>
      </c>
      <c r="C16" t="str">
        <f>_xlfn.LET(
_xlpm.FamilyName,IF(F16="","",F16)&amp;IF(G16="",""," "&amp;G16)&amp;IF(H16="",""," "&amp;H16),
_xlpm.MarriedName,IF(F16="","",F16)&amp;IF(G16="",""," "&amp;G16)&amp;IF(I16="",""," "&amp;I16)&amp;IF(H16="",""," "&amp;"("&amp;H16)&amp;")",
TRIM(IF(Index_of_People[[#This Row],[Prefer NickName]]=TRUE,Index_of_People[[#This Row],[Nick Names]],
IF(I16&lt;&gt;"",_xlpm.MarriedName,_xlpm.FamilyName))))</f>
        <v>Alanya Claire Smith (Wiles)</v>
      </c>
      <c r="D16" t="b">
        <v>1</v>
      </c>
      <c r="F16" t="s">
        <v>234</v>
      </c>
      <c r="G16" t="s">
        <v>34</v>
      </c>
      <c r="H16" t="s">
        <v>421</v>
      </c>
      <c r="I16" t="s">
        <v>17</v>
      </c>
      <c r="J16"/>
      <c r="K16" t="str">
        <f>IF(Index_of_People[[#This Row],[SpouseID]]="","",IFERROR(INDEX(Index_of_People[Metadata Name],MATCH(Index_of_People[[#This Row],[SpouseID]],Index_of_People[NameID],0)),""))</f>
        <v/>
      </c>
      <c r="L16" s="6"/>
      <c r="M16" s="2" t="s">
        <v>490</v>
      </c>
      <c r="N16" s="2" t="s">
        <v>490</v>
      </c>
      <c r="O16" s="2" t="s">
        <v>490</v>
      </c>
      <c r="P16" t="b">
        <v>0</v>
      </c>
    </row>
    <row r="17" spans="1:16" x14ac:dyDescent="0.25">
      <c r="A17" s="6">
        <v>12</v>
      </c>
      <c r="B17" s="6" t="b">
        <v>0</v>
      </c>
      <c r="C17" t="str">
        <f>_xlfn.LET(
_xlpm.FamilyName,IF(F17="","",F17)&amp;IF(G17="",""," "&amp;G17)&amp;IF(H17="",""," "&amp;H17),
_xlpm.MarriedName,IF(F17="","",F17)&amp;IF(G17="",""," "&amp;G17)&amp;IF(I17="",""," "&amp;I17)&amp;IF(H17="",""," "&amp;"("&amp;H17)&amp;")",
TRIM(IF(Index_of_People[[#This Row],[Prefer NickName]]=TRUE,Index_of_People[[#This Row],[Nick Names]],
IF(I17&lt;&gt;"",_xlpm.MarriedName,_xlpm.FamilyName))))</f>
        <v>Alec</v>
      </c>
      <c r="D17" t="b">
        <v>1</v>
      </c>
      <c r="F17" t="s">
        <v>38</v>
      </c>
      <c r="J17"/>
      <c r="K17" t="str">
        <f>IF(Index_of_People[[#This Row],[SpouseID]]="","",IFERROR(INDEX(Index_of_People[Metadata Name],MATCH(Index_of_People[[#This Row],[SpouseID]],Index_of_People[NameID],0)),""))</f>
        <v/>
      </c>
      <c r="L17" s="6"/>
      <c r="M17" s="2" t="s">
        <v>490</v>
      </c>
      <c r="N17" s="2" t="s">
        <v>490</v>
      </c>
      <c r="O17" s="2" t="s">
        <v>490</v>
      </c>
      <c r="P17" t="b">
        <v>0</v>
      </c>
    </row>
    <row r="18" spans="1:16" x14ac:dyDescent="0.25">
      <c r="A18" s="6">
        <v>13</v>
      </c>
      <c r="B18" s="6" t="b">
        <v>0</v>
      </c>
      <c r="C18" t="str">
        <f>_xlfn.LET(
_xlpm.FamilyName,IF(F18="","",F18)&amp;IF(G18="",""," "&amp;G18)&amp;IF(H18="",""," "&amp;H18),
_xlpm.MarriedName,IF(F18="","",F18)&amp;IF(G18="",""," "&amp;G18)&amp;IF(I18="",""," "&amp;I18)&amp;IF(H18="",""," "&amp;"("&amp;H18)&amp;")",
TRIM(IF(Index_of_People[[#This Row],[Prefer NickName]]=TRUE,Index_of_People[[#This Row],[Nick Names]],
IF(I18&lt;&gt;"",_xlpm.MarriedName,_xlpm.FamilyName))))</f>
        <v>Amanda Sandberg (McNeil)</v>
      </c>
      <c r="D18" t="b">
        <v>1</v>
      </c>
      <c r="F18" t="s">
        <v>235</v>
      </c>
      <c r="H18" t="s">
        <v>491</v>
      </c>
      <c r="I18" t="s">
        <v>297</v>
      </c>
      <c r="J18"/>
      <c r="K18" t="str">
        <f>IF(Index_of_People[[#This Row],[SpouseID]]="","",IFERROR(INDEX(Index_of_People[Metadata Name],MATCH(Index_of_People[[#This Row],[SpouseID]],Index_of_People[NameID],0)),""))</f>
        <v/>
      </c>
      <c r="L18" s="6"/>
      <c r="M18" s="2" t="s">
        <v>490</v>
      </c>
      <c r="N18" s="2" t="s">
        <v>490</v>
      </c>
      <c r="O18" s="2" t="s">
        <v>490</v>
      </c>
      <c r="P18" t="b">
        <v>0</v>
      </c>
    </row>
    <row r="19" spans="1:16" x14ac:dyDescent="0.25">
      <c r="A19" s="6">
        <v>14</v>
      </c>
      <c r="B19" s="6" t="b">
        <v>0</v>
      </c>
      <c r="C19" t="str">
        <f>_xlfn.LET(
_xlpm.FamilyName,IF(F19="","",F19)&amp;IF(G19="",""," "&amp;G19)&amp;IF(H19="",""," "&amp;H19),
_xlpm.MarriedName,IF(F19="","",F19)&amp;IF(G19="",""," "&amp;G19)&amp;IF(I19="",""," "&amp;I19)&amp;IF(H19="",""," "&amp;"("&amp;H19)&amp;")",
TRIM(IF(Index_of_People[[#This Row],[Prefer NickName]]=TRUE,Index_of_People[[#This Row],[Nick Names]],
IF(I19&lt;&gt;"",_xlpm.MarriedName,_xlpm.FamilyName))))</f>
        <v>Amando Pitag Jr</v>
      </c>
      <c r="D19" t="b">
        <v>1</v>
      </c>
      <c r="F19" t="s">
        <v>236</v>
      </c>
      <c r="H19" t="s">
        <v>458</v>
      </c>
      <c r="J19"/>
      <c r="K19" t="str">
        <f>IF(Index_of_People[[#This Row],[SpouseID]]="","",IFERROR(INDEX(Index_of_People[Metadata Name],MATCH(Index_of_People[[#This Row],[SpouseID]],Index_of_People[NameID],0)),""))</f>
        <v/>
      </c>
      <c r="L19" s="6"/>
      <c r="M19" s="2" t="s">
        <v>490</v>
      </c>
      <c r="N19" s="2" t="s">
        <v>490</v>
      </c>
      <c r="O19" s="2" t="s">
        <v>490</v>
      </c>
      <c r="P19" t="b">
        <v>0</v>
      </c>
    </row>
    <row r="20" spans="1:16" x14ac:dyDescent="0.25">
      <c r="A20" s="6">
        <v>15</v>
      </c>
      <c r="B20" s="6" t="b">
        <v>0</v>
      </c>
      <c r="C20" t="str">
        <f>_xlfn.LET(
_xlpm.FamilyName,IF(F20="","",F20)&amp;IF(G20="",""," "&amp;G20)&amp;IF(H20="",""," "&amp;H20),
_xlpm.MarriedName,IF(F20="","",F20)&amp;IF(G20="",""," "&amp;G20)&amp;IF(I20="",""," "&amp;I20)&amp;IF(H20="",""," "&amp;"("&amp;H20)&amp;")",
TRIM(IF(Index_of_People[[#This Row],[Prefer NickName]]=TRUE,Index_of_People[[#This Row],[Nick Names]],
IF(I20&lt;&gt;"",_xlpm.MarriedName,_xlpm.FamilyName))))</f>
        <v>Andrea</v>
      </c>
      <c r="D20" t="b">
        <v>0</v>
      </c>
      <c r="F20" t="s">
        <v>39</v>
      </c>
      <c r="J20"/>
      <c r="K20" t="str">
        <f>IF(Index_of_People[[#This Row],[SpouseID]]="","",IFERROR(INDEX(Index_of_People[Metadata Name],MATCH(Index_of_People[[#This Row],[SpouseID]],Index_of_People[NameID],0)),""))</f>
        <v/>
      </c>
      <c r="L20" s="6"/>
      <c r="M20" s="2" t="s">
        <v>490</v>
      </c>
      <c r="N20" s="2" t="s">
        <v>490</v>
      </c>
      <c r="O20" s="2" t="s">
        <v>490</v>
      </c>
      <c r="P20" t="b">
        <v>0</v>
      </c>
    </row>
    <row r="21" spans="1:16" x14ac:dyDescent="0.25">
      <c r="A21" s="6">
        <v>16</v>
      </c>
      <c r="B21" s="6" t="b">
        <v>0</v>
      </c>
      <c r="C21" t="str">
        <f>_xlfn.LET(
_xlpm.FamilyName,IF(F21="","",F21)&amp;IF(G21="",""," "&amp;G21)&amp;IF(H21="",""," "&amp;H21),
_xlpm.MarriedName,IF(F21="","",F21)&amp;IF(G21="",""," "&amp;G21)&amp;IF(I21="",""," "&amp;I21)&amp;IF(H21="",""," "&amp;"("&amp;H21)&amp;")",
TRIM(IF(Index_of_People[[#This Row],[Prefer NickName]]=TRUE,Index_of_People[[#This Row],[Nick Names]],
IF(I21&lt;&gt;"",_xlpm.MarriedName,_xlpm.FamilyName))))</f>
        <v>Andrew Njume</v>
      </c>
      <c r="D21" t="b">
        <v>1</v>
      </c>
      <c r="F21" t="s">
        <v>82</v>
      </c>
      <c r="H21" t="s">
        <v>298</v>
      </c>
      <c r="J21"/>
      <c r="K21" t="str">
        <f>IF(Index_of_People[[#This Row],[SpouseID]]="","",IFERROR(INDEX(Index_of_People[Metadata Name],MATCH(Index_of_People[[#This Row],[SpouseID]],Index_of_People[NameID],0)),""))</f>
        <v/>
      </c>
      <c r="L21" s="6"/>
      <c r="M21" s="2" t="s">
        <v>490</v>
      </c>
      <c r="N21" s="2" t="s">
        <v>490</v>
      </c>
      <c r="O21" s="2" t="s">
        <v>490</v>
      </c>
      <c r="P21" t="b">
        <v>0</v>
      </c>
    </row>
    <row r="22" spans="1:16" x14ac:dyDescent="0.25">
      <c r="A22" s="6">
        <v>17</v>
      </c>
      <c r="B22" s="6" t="b">
        <v>0</v>
      </c>
      <c r="C22" t="str">
        <f>_xlfn.LET(
_xlpm.FamilyName,IF(F22="","",F22)&amp;IF(G22="",""," "&amp;G22)&amp;IF(H22="",""," "&amp;H22),
_xlpm.MarriedName,IF(F22="","",F22)&amp;IF(G22="",""," "&amp;G22)&amp;IF(I22="",""," "&amp;I22)&amp;IF(H22="",""," "&amp;"("&amp;H22)&amp;")",
TRIM(IF(Index_of_People[[#This Row],[Prefer NickName]]=TRUE,Index_of_People[[#This Row],[Nick Names]],
IF(I22&lt;&gt;"",_xlpm.MarriedName,_xlpm.FamilyName))))</f>
        <v>Andrew Watson</v>
      </c>
      <c r="D22" t="b">
        <v>1</v>
      </c>
      <c r="F22" t="s">
        <v>82</v>
      </c>
      <c r="H22" t="s">
        <v>299</v>
      </c>
      <c r="J22"/>
      <c r="K22" t="str">
        <f>IF(Index_of_People[[#This Row],[SpouseID]]="","",IFERROR(INDEX(Index_of_People[Metadata Name],MATCH(Index_of_People[[#This Row],[SpouseID]],Index_of_People[NameID],0)),""))</f>
        <v/>
      </c>
      <c r="L22" s="6"/>
      <c r="M22" s="2" t="s">
        <v>490</v>
      </c>
      <c r="N22" s="2" t="s">
        <v>490</v>
      </c>
      <c r="O22" s="2" t="s">
        <v>490</v>
      </c>
      <c r="P22" t="b">
        <v>0</v>
      </c>
    </row>
    <row r="23" spans="1:16" x14ac:dyDescent="0.25">
      <c r="A23" s="6">
        <v>18</v>
      </c>
      <c r="B23" s="6" t="b">
        <v>0</v>
      </c>
      <c r="C23" t="str">
        <f>_xlfn.LET(
_xlpm.FamilyName,IF(F23="","",F23)&amp;IF(G23="",""," "&amp;G23)&amp;IF(H23="",""," "&amp;H23),
_xlpm.MarriedName,IF(F23="","",F23)&amp;IF(G23="",""," "&amp;G23)&amp;IF(I23="",""," "&amp;I23)&amp;IF(H23="",""," "&amp;"("&amp;H23)&amp;")",
TRIM(IF(Index_of_People[[#This Row],[Prefer NickName]]=TRUE,Index_of_People[[#This Row],[Nick Names]],
IF(I23&lt;&gt;"",_xlpm.MarriedName,_xlpm.FamilyName))))</f>
        <v>Angela Atkins</v>
      </c>
      <c r="D23" t="b">
        <v>1</v>
      </c>
      <c r="F23" t="s">
        <v>83</v>
      </c>
      <c r="G23" t="s">
        <v>490</v>
      </c>
      <c r="H23" t="s">
        <v>300</v>
      </c>
      <c r="I23" t="s">
        <v>490</v>
      </c>
      <c r="J23" t="s">
        <v>490</v>
      </c>
      <c r="K23" t="str">
        <f>IF(Index_of_People[[#This Row],[SpouseID]]="","",IFERROR(INDEX(Index_of_People[Metadata Name],MATCH(Index_of_People[[#This Row],[SpouseID]],Index_of_People[NameID],0)),""))</f>
        <v/>
      </c>
      <c r="L23" s="6"/>
      <c r="M23" s="2" t="s">
        <v>490</v>
      </c>
      <c r="N23" s="2" t="s">
        <v>490</v>
      </c>
      <c r="O23" s="2" t="s">
        <v>490</v>
      </c>
      <c r="P23" t="b">
        <v>0</v>
      </c>
    </row>
    <row r="24" spans="1:16" x14ac:dyDescent="0.25">
      <c r="A24" s="6">
        <v>19</v>
      </c>
      <c r="B24" s="6" t="b">
        <v>0</v>
      </c>
      <c r="C24" t="str">
        <f>_xlfn.LET(
_xlpm.FamilyName,IF(F24="","",F24)&amp;IF(G24="",""," "&amp;G24)&amp;IF(H24="",""," "&amp;H24),
_xlpm.MarriedName,IF(F24="","",F24)&amp;IF(G24="",""," "&amp;G24)&amp;IF(I24="",""," "&amp;I24)&amp;IF(H24="",""," "&amp;"("&amp;H24)&amp;")",
TRIM(IF(Index_of_People[[#This Row],[Prefer NickName]]=TRUE,Index_of_People[[#This Row],[Nick Names]],
IF(I24&lt;&gt;"",_xlpm.MarriedName,_xlpm.FamilyName))))</f>
        <v>Angela Dawn Woods (Norris)</v>
      </c>
      <c r="D24" t="b">
        <v>1</v>
      </c>
      <c r="F24" t="s">
        <v>83</v>
      </c>
      <c r="G24" t="s">
        <v>301</v>
      </c>
      <c r="H24" t="s">
        <v>326</v>
      </c>
      <c r="I24" t="s">
        <v>302</v>
      </c>
      <c r="J24"/>
      <c r="K24" t="str">
        <f>IF(Index_of_People[[#This Row],[SpouseID]]="","",IFERROR(INDEX(Index_of_People[Metadata Name],MATCH(Index_of_People[[#This Row],[SpouseID]],Index_of_People[NameID],0)),""))</f>
        <v>Chris Woods</v>
      </c>
      <c r="L24" s="6">
        <v>57</v>
      </c>
      <c r="M24" s="2">
        <v>26489</v>
      </c>
      <c r="P24" t="b">
        <v>1</v>
      </c>
    </row>
    <row r="25" spans="1:16" x14ac:dyDescent="0.25">
      <c r="A25" s="6">
        <v>20</v>
      </c>
      <c r="B25" s="6" t="b">
        <v>0</v>
      </c>
      <c r="C25" t="str">
        <f>_xlfn.LET(
_xlpm.FamilyName,IF(F25="","",F25)&amp;IF(G25="",""," "&amp;G25)&amp;IF(H25="",""," "&amp;H25),
_xlpm.MarriedName,IF(F25="","",F25)&amp;IF(G25="",""," "&amp;G25)&amp;IF(I25="",""," "&amp;I25)&amp;IF(H25="",""," "&amp;"("&amp;H25)&amp;")",
TRIM(IF(Index_of_People[[#This Row],[Prefer NickName]]=TRUE,Index_of_People[[#This Row],[Nick Names]],
IF(I25&lt;&gt;"",_xlpm.MarriedName,_xlpm.FamilyName))))</f>
        <v>Ann</v>
      </c>
      <c r="D25" t="b">
        <v>1</v>
      </c>
      <c r="F25" t="s">
        <v>30</v>
      </c>
      <c r="J25"/>
      <c r="K25" t="str">
        <f>IF(Index_of_People[[#This Row],[SpouseID]]="","",IFERROR(INDEX(Index_of_People[Metadata Name],MATCH(Index_of_People[[#This Row],[SpouseID]],Index_of_People[NameID],0)),""))</f>
        <v/>
      </c>
      <c r="L25" s="6"/>
      <c r="M25" s="2" t="s">
        <v>490</v>
      </c>
      <c r="N25" s="2" t="s">
        <v>490</v>
      </c>
      <c r="O25" s="2" t="s">
        <v>490</v>
      </c>
      <c r="P25" t="b">
        <v>0</v>
      </c>
    </row>
    <row r="26" spans="1:16" x14ac:dyDescent="0.25">
      <c r="A26" s="6">
        <v>21</v>
      </c>
      <c r="B26" s="6" t="b">
        <v>0</v>
      </c>
      <c r="C26" t="str">
        <f>_xlfn.LET(
_xlpm.FamilyName,IF(F26="","",F26)&amp;IF(G26="",""," "&amp;G26)&amp;IF(H26="",""," "&amp;H26),
_xlpm.MarriedName,IF(F26="","",F26)&amp;IF(G26="",""," "&amp;G26)&amp;IF(I26="",""," "&amp;I26)&amp;IF(H26="",""," "&amp;"("&amp;H26)&amp;")",
TRIM(IF(Index_of_People[[#This Row],[Prefer NickName]]=TRUE,Index_of_People[[#This Row],[Nick Names]],
IF(I26&lt;&gt;"",_xlpm.MarriedName,_xlpm.FamilyName))))</f>
        <v>Ann Winberg</v>
      </c>
      <c r="D26" t="b">
        <v>1</v>
      </c>
      <c r="F26" t="s">
        <v>30</v>
      </c>
      <c r="H26" t="s">
        <v>303</v>
      </c>
      <c r="J26"/>
      <c r="K26" t="str">
        <f>IF(Index_of_People[[#This Row],[SpouseID]]="","",IFERROR(INDEX(Index_of_People[Metadata Name],MATCH(Index_of_People[[#This Row],[SpouseID]],Index_of_People[NameID],0)),""))</f>
        <v>John William Penner</v>
      </c>
      <c r="L26" s="6">
        <v>179</v>
      </c>
      <c r="N26" s="2">
        <v>32276</v>
      </c>
      <c r="P26" t="b">
        <v>1</v>
      </c>
    </row>
    <row r="27" spans="1:16" x14ac:dyDescent="0.25">
      <c r="A27" s="6">
        <v>22</v>
      </c>
      <c r="B27" s="6" t="b">
        <v>0</v>
      </c>
      <c r="C27" t="str">
        <f>_xlfn.LET(
_xlpm.FamilyName,IF(F27="","",F27)&amp;IF(G27="",""," "&amp;G27)&amp;IF(H27="",""," "&amp;H27),
_xlpm.MarriedName,IF(F27="","",F27)&amp;IF(G27="",""," "&amp;G27)&amp;IF(I27="",""," "&amp;I27)&amp;IF(H27="",""," "&amp;"("&amp;H27)&amp;")",
TRIM(IF(Index_of_People[[#This Row],[Prefer NickName]]=TRUE,Index_of_People[[#This Row],[Nick Names]],
IF(I27&lt;&gt;"",_xlpm.MarriedName,_xlpm.FamilyName))))</f>
        <v>Anna Enns (Boldt)</v>
      </c>
      <c r="D27" t="b">
        <v>1</v>
      </c>
      <c r="F27" t="s">
        <v>237</v>
      </c>
      <c r="H27" t="s">
        <v>477</v>
      </c>
      <c r="I27" t="s">
        <v>304</v>
      </c>
      <c r="J27"/>
      <c r="K27" t="str">
        <f>IF(Index_of_People[[#This Row],[SpouseID]]="","",IFERROR(INDEX(Index_of_People[Metadata Name],MATCH(Index_of_People[[#This Row],[SpouseID]],Index_of_People[NameID],0)),""))</f>
        <v/>
      </c>
      <c r="L27" s="6"/>
      <c r="M27" s="2" t="s">
        <v>490</v>
      </c>
      <c r="N27" s="2" t="s">
        <v>490</v>
      </c>
      <c r="O27" s="2" t="s">
        <v>490</v>
      </c>
      <c r="P27" t="b">
        <v>1</v>
      </c>
    </row>
    <row r="28" spans="1:16" x14ac:dyDescent="0.25">
      <c r="A28" s="6">
        <v>23</v>
      </c>
      <c r="B28" s="6" t="b">
        <v>0</v>
      </c>
      <c r="C28" t="str">
        <f>_xlfn.LET(
_xlpm.FamilyName,IF(F28="","",F28)&amp;IF(G28="",""," "&amp;G28)&amp;IF(H28="",""," "&amp;H28),
_xlpm.MarriedName,IF(F28="","",F28)&amp;IF(G28="",""," "&amp;G28)&amp;IF(I28="",""," "&amp;I28)&amp;IF(H28="",""," "&amp;"("&amp;H28)&amp;")",
TRIM(IF(Index_of_People[[#This Row],[Prefer NickName]]=TRUE,Index_of_People[[#This Row],[Nick Names]],
IF(I28&lt;&gt;"",_xlpm.MarriedName,_xlpm.FamilyName))))</f>
        <v>Anne-Marie</v>
      </c>
      <c r="D28" t="b">
        <v>1</v>
      </c>
      <c r="F28" t="s">
        <v>33</v>
      </c>
      <c r="J28"/>
      <c r="K28" t="str">
        <f>IF(Index_of_People[[#This Row],[SpouseID]]="","",IFERROR(INDEX(Index_of_People[Metadata Name],MATCH(Index_of_People[[#This Row],[SpouseID]],Index_of_People[NameID],0)),""))</f>
        <v/>
      </c>
      <c r="L28" s="6"/>
      <c r="M28" s="2" t="s">
        <v>490</v>
      </c>
      <c r="N28" s="2" t="s">
        <v>490</v>
      </c>
      <c r="O28" s="2" t="s">
        <v>490</v>
      </c>
      <c r="P28" t="b">
        <v>0</v>
      </c>
    </row>
    <row r="29" spans="1:16" x14ac:dyDescent="0.25">
      <c r="A29" s="6">
        <v>24</v>
      </c>
      <c r="B29" s="6" t="b">
        <v>0</v>
      </c>
      <c r="C29" t="str">
        <f>_xlfn.LET(
_xlpm.FamilyName,IF(F29="","",F29)&amp;IF(G29="",""," "&amp;G29)&amp;IF(H29="",""," "&amp;H29),
_xlpm.MarriedName,IF(F29="","",F29)&amp;IF(G29="",""," "&amp;G29)&amp;IF(I29="",""," "&amp;I29)&amp;IF(H29="",""," "&amp;"("&amp;H29)&amp;")",
TRIM(IF(Index_of_People[[#This Row],[Prefer NickName]]=TRUE,Index_of_People[[#This Row],[Nick Names]],
IF(I29&lt;&gt;"",_xlpm.MarriedName,_xlpm.FamilyName))))</f>
        <v>Annette</v>
      </c>
      <c r="D29" t="b">
        <v>0</v>
      </c>
      <c r="F29" t="s">
        <v>40</v>
      </c>
      <c r="J29"/>
      <c r="K29" t="str">
        <f>IF(Index_of_People[[#This Row],[SpouseID]]="","",IFERROR(INDEX(Index_of_People[Metadata Name],MATCH(Index_of_People[[#This Row],[SpouseID]],Index_of_People[NameID],0)),""))</f>
        <v/>
      </c>
      <c r="L29" s="6"/>
      <c r="M29" s="2" t="s">
        <v>490</v>
      </c>
      <c r="N29" s="2" t="s">
        <v>490</v>
      </c>
      <c r="O29" s="2" t="s">
        <v>490</v>
      </c>
      <c r="P29" t="b">
        <v>0</v>
      </c>
    </row>
    <row r="30" spans="1:16" x14ac:dyDescent="0.25">
      <c r="A30" s="6">
        <v>25</v>
      </c>
      <c r="B30" s="6" t="b">
        <v>0</v>
      </c>
      <c r="C30" t="str">
        <f>_xlfn.LET(
_xlpm.FamilyName,IF(F30="","",F30)&amp;IF(G30="",""," "&amp;G30)&amp;IF(H30="",""," "&amp;H30),
_xlpm.MarriedName,IF(F30="","",F30)&amp;IF(G30="",""," "&amp;G30)&amp;IF(I30="",""," "&amp;I30)&amp;IF(H30="",""," "&amp;"("&amp;H30)&amp;")",
TRIM(IF(Index_of_People[[#This Row],[Prefer NickName]]=TRUE,Index_of_People[[#This Row],[Nick Names]],
IF(I30&lt;&gt;"",_xlpm.MarriedName,_xlpm.FamilyName))))</f>
        <v>Annie Mary Wardle (Penner)</v>
      </c>
      <c r="D30" t="b">
        <v>1</v>
      </c>
      <c r="F30" t="s">
        <v>238</v>
      </c>
      <c r="G30" t="s">
        <v>178</v>
      </c>
      <c r="H30" t="s">
        <v>295</v>
      </c>
      <c r="I30" t="s">
        <v>305</v>
      </c>
      <c r="J30"/>
      <c r="K30" t="str">
        <f>IF(Index_of_People[[#This Row],[SpouseID]]="","",IFERROR(INDEX(Index_of_People[Metadata Name],MATCH(Index_of_People[[#This Row],[SpouseID]],Index_of_People[NameID],0)),""))</f>
        <v>Norman James Wardle</v>
      </c>
      <c r="L30" s="6">
        <v>253</v>
      </c>
      <c r="M30" s="2">
        <v>13647</v>
      </c>
      <c r="N30" s="2">
        <v>21462</v>
      </c>
      <c r="P30" t="b">
        <v>1</v>
      </c>
    </row>
    <row r="31" spans="1:16" x14ac:dyDescent="0.25">
      <c r="A31" s="6">
        <v>26</v>
      </c>
      <c r="B31" s="6" t="b">
        <v>0</v>
      </c>
      <c r="C31" t="str">
        <f>_xlfn.LET(
_xlpm.FamilyName,IF(F31="","",F31)&amp;IF(G31="",""," "&amp;G31)&amp;IF(H31="",""," "&amp;H31),
_xlpm.MarriedName,IF(F31="","",F31)&amp;IF(G31="",""," "&amp;G31)&amp;IF(I31="",""," "&amp;I31)&amp;IF(H31="",""," "&amp;"("&amp;H31)&amp;")",
TRIM(IF(Index_of_People[[#This Row],[Prefer NickName]]=TRUE,Index_of_People[[#This Row],[Nick Names]],
IF(I31&lt;&gt;"",_xlpm.MarriedName,_xlpm.FamilyName))))</f>
        <v>April Andrews</v>
      </c>
      <c r="D31" t="b">
        <v>1</v>
      </c>
      <c r="F31" t="s">
        <v>84</v>
      </c>
      <c r="G31" t="s">
        <v>490</v>
      </c>
      <c r="H31" t="s">
        <v>306</v>
      </c>
      <c r="I31" t="s">
        <v>490</v>
      </c>
      <c r="J31" t="s">
        <v>490</v>
      </c>
      <c r="K31" t="str">
        <f>IF(Index_of_People[[#This Row],[SpouseID]]="","",IFERROR(INDEX(Index_of_People[Metadata Name],MATCH(Index_of_People[[#This Row],[SpouseID]],Index_of_People[NameID],0)),""))</f>
        <v/>
      </c>
      <c r="L31" s="6"/>
      <c r="M31" s="2" t="s">
        <v>490</v>
      </c>
      <c r="N31" s="2" t="s">
        <v>490</v>
      </c>
      <c r="O31" s="2" t="s">
        <v>490</v>
      </c>
      <c r="P31" t="b">
        <v>0</v>
      </c>
    </row>
    <row r="32" spans="1:16" x14ac:dyDescent="0.25">
      <c r="A32" s="6">
        <v>27</v>
      </c>
      <c r="B32" s="6" t="b">
        <v>0</v>
      </c>
      <c r="C32" t="str">
        <f>_xlfn.LET(
_xlpm.FamilyName,IF(F32="","",F32)&amp;IF(G32="",""," "&amp;G32)&amp;IF(H32="",""," "&amp;H32),
_xlpm.MarriedName,IF(F32="","",F32)&amp;IF(G32="",""," "&amp;G32)&amp;IF(I32="",""," "&amp;I32)&amp;IF(H32="",""," "&amp;"("&amp;H32)&amp;")",
TRIM(IF(Index_of_People[[#This Row],[Prefer NickName]]=TRUE,Index_of_People[[#This Row],[Nick Names]],
IF(I32&lt;&gt;"",_xlpm.MarriedName,_xlpm.FamilyName))))</f>
        <v>Ariel</v>
      </c>
      <c r="D32" t="b">
        <v>0</v>
      </c>
      <c r="F32" t="s">
        <v>41</v>
      </c>
      <c r="J32"/>
      <c r="K32" t="str">
        <f>IF(Index_of_People[[#This Row],[SpouseID]]="","",IFERROR(INDEX(Index_of_People[Metadata Name],MATCH(Index_of_People[[#This Row],[SpouseID]],Index_of_People[NameID],0)),""))</f>
        <v/>
      </c>
      <c r="L32" s="6"/>
      <c r="M32" s="2" t="s">
        <v>490</v>
      </c>
      <c r="N32" s="2" t="s">
        <v>490</v>
      </c>
      <c r="O32" s="2" t="s">
        <v>490</v>
      </c>
      <c r="P32" t="b">
        <v>0</v>
      </c>
    </row>
    <row r="33" spans="1:16" x14ac:dyDescent="0.25">
      <c r="A33" s="6">
        <v>28</v>
      </c>
      <c r="B33" s="6" t="b">
        <v>0</v>
      </c>
      <c r="C33" t="str">
        <f>_xlfn.LET(
_xlpm.FamilyName,IF(F33="","",F33)&amp;IF(G33="",""," "&amp;G33)&amp;IF(H33="",""," "&amp;H33),
_xlpm.MarriedName,IF(F33="","",F33)&amp;IF(G33="",""," "&amp;G33)&amp;IF(I33="",""," "&amp;I33)&amp;IF(H33="",""," "&amp;"("&amp;H33)&amp;")",
TRIM(IF(Index_of_People[[#This Row],[Prefer NickName]]=TRUE,Index_of_People[[#This Row],[Nick Names]],
IF(I33&lt;&gt;"",_xlpm.MarriedName,_xlpm.FamilyName))))</f>
        <v>Aven Sandberg</v>
      </c>
      <c r="D33" t="b">
        <v>1</v>
      </c>
      <c r="F33" t="s">
        <v>85</v>
      </c>
      <c r="H33" t="s">
        <v>297</v>
      </c>
      <c r="J33"/>
      <c r="K33" t="str">
        <f>IF(Index_of_People[[#This Row],[SpouseID]]="","",IFERROR(INDEX(Index_of_People[Metadata Name],MATCH(Index_of_People[[#This Row],[SpouseID]],Index_of_People[NameID],0)),""))</f>
        <v/>
      </c>
      <c r="L33" s="6"/>
      <c r="M33" s="2" t="s">
        <v>490</v>
      </c>
      <c r="N33" s="2" t="s">
        <v>490</v>
      </c>
      <c r="O33" s="2" t="s">
        <v>490</v>
      </c>
      <c r="P33" t="b">
        <v>0</v>
      </c>
    </row>
    <row r="34" spans="1:16" x14ac:dyDescent="0.25">
      <c r="A34" s="6">
        <v>29</v>
      </c>
      <c r="B34" s="6" t="b">
        <v>0</v>
      </c>
      <c r="C34" t="str">
        <f>_xlfn.LET(
_xlpm.FamilyName,IF(F34="","",F34)&amp;IF(G34="",""," "&amp;G34)&amp;IF(H34="",""," "&amp;H34),
_xlpm.MarriedName,IF(F34="","",F34)&amp;IF(G34="",""," "&amp;G34)&amp;IF(I34="",""," "&amp;I34)&amp;IF(H34="",""," "&amp;"("&amp;H34)&amp;")",
TRIM(IF(Index_of_People[[#This Row],[Prefer NickName]]=TRUE,Index_of_People[[#This Row],[Nick Names]],
IF(I34&lt;&gt;"",_xlpm.MarriedName,_xlpm.FamilyName))))</f>
        <v>Beauty</v>
      </c>
      <c r="D34" t="b">
        <v>1</v>
      </c>
      <c r="F34" t="s">
        <v>21</v>
      </c>
      <c r="J34"/>
      <c r="K34" t="str">
        <f>IF(Index_of_People[[#This Row],[SpouseID]]="","",IFERROR(INDEX(Index_of_People[Metadata Name],MATCH(Index_of_People[[#This Row],[SpouseID]],Index_of_People[NameID],0)),""))</f>
        <v/>
      </c>
      <c r="L34" s="6"/>
      <c r="M34" s="2" t="s">
        <v>490</v>
      </c>
      <c r="N34" s="2" t="s">
        <v>490</v>
      </c>
      <c r="O34" s="2" t="s">
        <v>490</v>
      </c>
      <c r="P34" t="b">
        <v>0</v>
      </c>
    </row>
    <row r="35" spans="1:16" x14ac:dyDescent="0.25">
      <c r="A35" s="6">
        <v>30</v>
      </c>
      <c r="B35" s="6" t="b">
        <v>0</v>
      </c>
      <c r="C35" t="str">
        <f>_xlfn.LET(
_xlpm.FamilyName,IF(F35="","",F35)&amp;IF(G35="",""," "&amp;G35)&amp;IF(H35="",""," "&amp;H35),
_xlpm.MarriedName,IF(F35="","",F35)&amp;IF(G35="",""," "&amp;G35)&amp;IF(I35="",""," "&amp;I35)&amp;IF(H35="",""," "&amp;"("&amp;H35)&amp;")",
TRIM(IF(Index_of_People[[#This Row],[Prefer NickName]]=TRUE,Index_of_People[[#This Row],[Nick Names]],
IF(I35&lt;&gt;"",_xlpm.MarriedName,_xlpm.FamilyName))))</f>
        <v>Bethany Anne Stibbe</v>
      </c>
      <c r="D35" t="b">
        <v>1</v>
      </c>
      <c r="F35" t="s">
        <v>239</v>
      </c>
      <c r="G35" t="s">
        <v>307</v>
      </c>
      <c r="H35" t="s">
        <v>308</v>
      </c>
      <c r="J35"/>
      <c r="K35" t="str">
        <f>IF(Index_of_People[[#This Row],[SpouseID]]="","",IFERROR(INDEX(Index_of_People[Metadata Name],MATCH(Index_of_People[[#This Row],[SpouseID]],Index_of_People[NameID],0)),""))</f>
        <v/>
      </c>
      <c r="L35" s="6"/>
      <c r="M35" s="2" t="s">
        <v>490</v>
      </c>
      <c r="N35" s="2" t="s">
        <v>490</v>
      </c>
      <c r="O35" s="2" t="s">
        <v>490</v>
      </c>
      <c r="P35" t="b">
        <v>1</v>
      </c>
    </row>
    <row r="36" spans="1:16" x14ac:dyDescent="0.25">
      <c r="A36" s="6">
        <v>31</v>
      </c>
      <c r="B36" s="6" t="b">
        <v>0</v>
      </c>
      <c r="C36" t="str">
        <f>_xlfn.LET(
_xlpm.FamilyName,IF(F36="","",F36)&amp;IF(G36="",""," "&amp;G36)&amp;IF(H36="",""," "&amp;H36),
_xlpm.MarriedName,IF(F36="","",F36)&amp;IF(G36="",""," "&amp;G36)&amp;IF(I36="",""," "&amp;I36)&amp;IF(H36="",""," "&amp;"("&amp;H36)&amp;")",
TRIM(IF(Index_of_People[[#This Row],[Prefer NickName]]=TRUE,Index_of_People[[#This Row],[Nick Names]],
IF(I36&lt;&gt;"",_xlpm.MarriedName,_xlpm.FamilyName))))</f>
        <v>Birdie</v>
      </c>
      <c r="D36" t="b">
        <v>0</v>
      </c>
      <c r="F36" t="s">
        <v>240</v>
      </c>
      <c r="J36" t="s">
        <v>470</v>
      </c>
      <c r="K36" t="str">
        <f>IF(Index_of_People[[#This Row],[SpouseID]]="","",IFERROR(INDEX(Index_of_People[Metadata Name],MATCH(Index_of_People[[#This Row],[SpouseID]],Index_of_People[NameID],0)),""))</f>
        <v/>
      </c>
      <c r="L36" s="6"/>
      <c r="M36" s="2" t="s">
        <v>490</v>
      </c>
      <c r="N36" s="2" t="s">
        <v>490</v>
      </c>
      <c r="O36" s="2" t="s">
        <v>490</v>
      </c>
      <c r="P36" t="b">
        <v>0</v>
      </c>
    </row>
    <row r="37" spans="1:16" x14ac:dyDescent="0.25">
      <c r="A37" s="6">
        <v>32</v>
      </c>
      <c r="B37" s="6" t="b">
        <v>0</v>
      </c>
      <c r="C37" t="str">
        <f>_xlfn.LET(
_xlpm.FamilyName,IF(F37="","",F37)&amp;IF(G37="",""," "&amp;G37)&amp;IF(H37="",""," "&amp;H37),
_xlpm.MarriedName,IF(F37="","",F37)&amp;IF(G37="",""," "&amp;G37)&amp;IF(I37="",""," "&amp;I37)&amp;IF(H37="",""," "&amp;"("&amp;H37)&amp;")",
TRIM(IF(Index_of_People[[#This Row],[Prefer NickName]]=TRUE,Index_of_People[[#This Row],[Nick Names]],
IF(I37&lt;&gt;"",_xlpm.MarriedName,_xlpm.FamilyName))))</f>
        <v>Birgit</v>
      </c>
      <c r="D37" t="b">
        <v>0</v>
      </c>
      <c r="F37" t="s">
        <v>86</v>
      </c>
      <c r="J37" t="s">
        <v>475</v>
      </c>
      <c r="K37" t="str">
        <f>IF(Index_of_People[[#This Row],[SpouseID]]="","",IFERROR(INDEX(Index_of_People[Metadata Name],MATCH(Index_of_People[[#This Row],[SpouseID]],Index_of_People[NameID],0)),""))</f>
        <v/>
      </c>
      <c r="L37" s="6"/>
      <c r="M37" s="2" t="s">
        <v>490</v>
      </c>
      <c r="N37" s="2" t="s">
        <v>490</v>
      </c>
      <c r="O37" s="2" t="s">
        <v>490</v>
      </c>
      <c r="P37" t="b">
        <v>0</v>
      </c>
    </row>
    <row r="38" spans="1:16" x14ac:dyDescent="0.25">
      <c r="A38" s="6">
        <v>33</v>
      </c>
      <c r="B38" s="6" t="b">
        <v>0</v>
      </c>
      <c r="C38" t="str">
        <f>_xlfn.LET(
_xlpm.FamilyName,IF(F38="","",F38)&amp;IF(G38="",""," "&amp;G38)&amp;IF(H38="",""," "&amp;H38),
_xlpm.MarriedName,IF(F38="","",F38)&amp;IF(G38="",""," "&amp;G38)&amp;IF(I38="",""," "&amp;I38)&amp;IF(H38="",""," "&amp;"("&amp;H38)&amp;")",
TRIM(IF(Index_of_People[[#This Row],[Prefer NickName]]=TRUE,Index_of_People[[#This Row],[Nick Names]],
IF(I38&lt;&gt;"",_xlpm.MarriedName,_xlpm.FamilyName))))</f>
        <v>Blenkinsop neighbours</v>
      </c>
      <c r="D38" t="b">
        <v>1</v>
      </c>
      <c r="F38" t="s">
        <v>87</v>
      </c>
      <c r="H38" t="s">
        <v>309</v>
      </c>
      <c r="J38"/>
      <c r="K38" t="str">
        <f>IF(Index_of_People[[#This Row],[SpouseID]]="","",IFERROR(INDEX(Index_of_People[Metadata Name],MATCH(Index_of_People[[#This Row],[SpouseID]],Index_of_People[NameID],0)),""))</f>
        <v/>
      </c>
      <c r="L38" s="6"/>
      <c r="M38" s="2" t="s">
        <v>490</v>
      </c>
      <c r="N38" s="2" t="s">
        <v>490</v>
      </c>
      <c r="O38" s="2" t="s">
        <v>490</v>
      </c>
      <c r="P38" t="b">
        <v>0</v>
      </c>
    </row>
    <row r="39" spans="1:16" ht="14.25" customHeight="1" x14ac:dyDescent="0.25">
      <c r="A39" s="6">
        <v>34</v>
      </c>
      <c r="B39" s="6" t="b">
        <v>0</v>
      </c>
      <c r="C39" t="str">
        <f>_xlfn.LET(
_xlpm.FamilyName,IF(F39="","",F39)&amp;IF(G39="",""," "&amp;G39)&amp;IF(H39="",""," "&amp;H39),
_xlpm.MarriedName,IF(F39="","",F39)&amp;IF(G39="",""," "&amp;G39)&amp;IF(I39="",""," "&amp;I39)&amp;IF(H39="",""," "&amp;"("&amp;H39)&amp;")",
TRIM(IF(Index_of_People[[#This Row],[Prefer NickName]]=TRUE,Index_of_People[[#This Row],[Nick Names]],
IF(I39&lt;&gt;"",_xlpm.MarriedName,_xlpm.FamilyName))))</f>
        <v>Blueboy</v>
      </c>
      <c r="D39" t="b">
        <v>1</v>
      </c>
      <c r="F39" t="s">
        <v>24</v>
      </c>
      <c r="J39"/>
      <c r="K39" t="str">
        <f>IF(Index_of_People[[#This Row],[SpouseID]]="","",IFERROR(INDEX(Index_of_People[Metadata Name],MATCH(Index_of_People[[#This Row],[SpouseID]],Index_of_People[NameID],0)),""))</f>
        <v/>
      </c>
      <c r="L39" s="6"/>
      <c r="M39" s="2" t="s">
        <v>490</v>
      </c>
      <c r="N39" s="2" t="s">
        <v>490</v>
      </c>
      <c r="O39" s="2" t="s">
        <v>490</v>
      </c>
      <c r="P39" t="b">
        <v>0</v>
      </c>
    </row>
    <row r="40" spans="1:16" x14ac:dyDescent="0.25">
      <c r="A40" s="6">
        <v>35</v>
      </c>
      <c r="B40" s="6" t="b">
        <v>0</v>
      </c>
      <c r="C40" t="str">
        <f>_xlfn.LET(
_xlpm.FamilyName,IF(F40="","",F40)&amp;IF(G40="",""," "&amp;G40)&amp;IF(H40="",""," "&amp;H40),
_xlpm.MarriedName,IF(F40="","",F40)&amp;IF(G40="",""," "&amp;G40)&amp;IF(I40="",""," "&amp;I40)&amp;IF(H40="",""," "&amp;"("&amp;H40)&amp;")",
TRIM(IF(Index_of_People[[#This Row],[Prefer NickName]]=TRUE,Index_of_People[[#This Row],[Nick Names]],
IF(I40&lt;&gt;"",_xlpm.MarriedName,_xlpm.FamilyName))))</f>
        <v>Bob</v>
      </c>
      <c r="D40" t="b">
        <v>1</v>
      </c>
      <c r="F40" t="s">
        <v>42</v>
      </c>
      <c r="J40"/>
      <c r="K40" t="str">
        <f>IF(Index_of_People[[#This Row],[SpouseID]]="","",IFERROR(INDEX(Index_of_People[Metadata Name],MATCH(Index_of_People[[#This Row],[SpouseID]],Index_of_People[NameID],0)),""))</f>
        <v/>
      </c>
      <c r="L40" s="6"/>
      <c r="M40" s="2" t="s">
        <v>490</v>
      </c>
      <c r="N40" s="2" t="s">
        <v>490</v>
      </c>
      <c r="O40" s="2" t="s">
        <v>490</v>
      </c>
      <c r="P40" t="b">
        <v>0</v>
      </c>
    </row>
    <row r="41" spans="1:16" x14ac:dyDescent="0.25">
      <c r="A41" s="6">
        <v>36</v>
      </c>
      <c r="B41" s="6" t="b">
        <v>0</v>
      </c>
      <c r="C41" t="str">
        <f>_xlfn.LET(
_xlpm.FamilyName,IF(F41="","",F41)&amp;IF(G41="",""," "&amp;G41)&amp;IF(H41="",""," "&amp;H41),
_xlpm.MarriedName,IF(F41="","",F41)&amp;IF(G41="",""," "&amp;G41)&amp;IF(I41="",""," "&amp;I41)&amp;IF(H41="",""," "&amp;"("&amp;H41)&amp;")",
TRIM(IF(Index_of_People[[#This Row],[Prefer NickName]]=TRUE,Index_of_People[[#This Row],[Nick Names]],
IF(I41&lt;&gt;"",_xlpm.MarriedName,_xlpm.FamilyName))))</f>
        <v>Bob Hunter</v>
      </c>
      <c r="D41" t="b">
        <v>1</v>
      </c>
      <c r="F41" t="s">
        <v>42</v>
      </c>
      <c r="H41" t="s">
        <v>310</v>
      </c>
      <c r="J41"/>
      <c r="K41" t="str">
        <f>IF(Index_of_People[[#This Row],[SpouseID]]="","",IFERROR(INDEX(Index_of_People[Metadata Name],MATCH(Index_of_People[[#This Row],[SpouseID]],Index_of_People[NameID],0)),""))</f>
        <v>Judy Anne Hunter (Barker)</v>
      </c>
      <c r="L41" s="6">
        <v>180</v>
      </c>
      <c r="M41" s="2">
        <v>16172</v>
      </c>
      <c r="O41" s="2">
        <v>43520</v>
      </c>
      <c r="P41" t="b">
        <v>1</v>
      </c>
    </row>
    <row r="42" spans="1:16" x14ac:dyDescent="0.25">
      <c r="A42" s="6">
        <v>37</v>
      </c>
      <c r="B42" s="6" t="b">
        <v>0</v>
      </c>
      <c r="C42" t="str">
        <f>_xlfn.LET(
_xlpm.FamilyName,IF(F42="","",F42)&amp;IF(G42="",""," "&amp;G42)&amp;IF(H42="",""," "&amp;H42),
_xlpm.MarriedName,IF(F42="","",F42)&amp;IF(G42="",""," "&amp;G42)&amp;IF(I42="",""," "&amp;I42)&amp;IF(H42="",""," "&amp;"("&amp;H42)&amp;")",
TRIM(IF(Index_of_People[[#This Row],[Prefer NickName]]=TRUE,Index_of_People[[#This Row],[Nick Names]],
IF(I42&lt;&gt;"",_xlpm.MarriedName,_xlpm.FamilyName))))</f>
        <v>Bob Steele</v>
      </c>
      <c r="D42" t="b">
        <v>1</v>
      </c>
      <c r="F42" t="s">
        <v>42</v>
      </c>
      <c r="H42" t="s">
        <v>311</v>
      </c>
      <c r="J42"/>
      <c r="K42" t="str">
        <f>IF(Index_of_People[[#This Row],[SpouseID]]="","",IFERROR(INDEX(Index_of_People[Metadata Name],MATCH(Index_of_People[[#This Row],[SpouseID]],Index_of_People[NameID],0)),""))</f>
        <v/>
      </c>
      <c r="L42" s="6"/>
      <c r="M42" s="2" t="s">
        <v>490</v>
      </c>
      <c r="N42" s="2" t="s">
        <v>490</v>
      </c>
      <c r="O42" s="2" t="s">
        <v>490</v>
      </c>
      <c r="P42" t="b">
        <v>0</v>
      </c>
    </row>
    <row r="43" spans="1:16" x14ac:dyDescent="0.25">
      <c r="A43" s="6">
        <v>38</v>
      </c>
      <c r="B43" s="6" t="b">
        <v>0</v>
      </c>
      <c r="C43" t="str">
        <f>_xlfn.LET(
_xlpm.FamilyName,IF(F43="","",F43)&amp;IF(G43="",""," "&amp;G43)&amp;IF(H43="",""," "&amp;H43),
_xlpm.MarriedName,IF(F43="","",F43)&amp;IF(G43="",""," "&amp;G43)&amp;IF(I43="",""," "&amp;I43)&amp;IF(H43="",""," "&amp;"("&amp;H43)&amp;")",
TRIM(IF(Index_of_People[[#This Row],[Prefer NickName]]=TRUE,Index_of_People[[#This Row],[Nick Names]],
IF(I43&lt;&gt;"",_xlpm.MarriedName,_xlpm.FamilyName))))</f>
        <v>Bonnie</v>
      </c>
      <c r="D43" t="b">
        <v>1</v>
      </c>
      <c r="F43" t="s">
        <v>43</v>
      </c>
      <c r="J43"/>
      <c r="K43" t="str">
        <f>IF(Index_of_People[[#This Row],[SpouseID]]="","",IFERROR(INDEX(Index_of_People[Metadata Name],MATCH(Index_of_People[[#This Row],[SpouseID]],Index_of_People[NameID],0)),""))</f>
        <v/>
      </c>
      <c r="L43" s="6"/>
      <c r="M43" s="2" t="s">
        <v>490</v>
      </c>
      <c r="N43" s="2" t="s">
        <v>490</v>
      </c>
      <c r="O43" s="2" t="s">
        <v>490</v>
      </c>
      <c r="P43" t="b">
        <v>0</v>
      </c>
    </row>
    <row r="44" spans="1:16" x14ac:dyDescent="0.25">
      <c r="A44" s="6">
        <v>39</v>
      </c>
      <c r="B44" s="6" t="b">
        <v>0</v>
      </c>
      <c r="C44" t="str">
        <f>_xlfn.LET(
_xlpm.FamilyName,IF(F44="","",F44)&amp;IF(G44="",""," "&amp;G44)&amp;IF(H44="",""," "&amp;H44),
_xlpm.MarriedName,IF(F44="","",F44)&amp;IF(G44="",""," "&amp;G44)&amp;IF(I44="",""," "&amp;I44)&amp;IF(H44="",""," "&amp;"("&amp;H44)&amp;")",
TRIM(IF(Index_of_People[[#This Row],[Prefer NickName]]=TRUE,Index_of_People[[#This Row],[Nick Names]],
IF(I44&lt;&gt;"",_xlpm.MarriedName,_xlpm.FamilyName))))</f>
        <v>brad</v>
      </c>
      <c r="D44" t="b">
        <v>1</v>
      </c>
      <c r="F44" t="s">
        <v>44</v>
      </c>
      <c r="J44"/>
      <c r="K44" t="str">
        <f>IF(Index_of_People[[#This Row],[SpouseID]]="","",IFERROR(INDEX(Index_of_People[Metadata Name],MATCH(Index_of_People[[#This Row],[SpouseID]],Index_of_People[NameID],0)),""))</f>
        <v/>
      </c>
      <c r="L44" s="6"/>
      <c r="M44" s="2" t="s">
        <v>490</v>
      </c>
      <c r="N44" s="2" t="s">
        <v>490</v>
      </c>
      <c r="O44" s="2" t="s">
        <v>490</v>
      </c>
      <c r="P44" t="b">
        <v>0</v>
      </c>
    </row>
    <row r="45" spans="1:16" x14ac:dyDescent="0.25">
      <c r="A45" s="6">
        <v>40</v>
      </c>
      <c r="B45" s="6" t="b">
        <v>0</v>
      </c>
      <c r="C45" t="str">
        <f>_xlfn.LET(
_xlpm.FamilyName,IF(F45="","",F45)&amp;IF(G45="",""," "&amp;G45)&amp;IF(H45="",""," "&amp;H45),
_xlpm.MarriedName,IF(F45="","",F45)&amp;IF(G45="",""," "&amp;G45)&amp;IF(I45="",""," "&amp;I45)&amp;IF(H45="",""," "&amp;"("&amp;H45)&amp;")",
TRIM(IF(Index_of_People[[#This Row],[Prefer NickName]]=TRUE,Index_of_People[[#This Row],[Nick Names]],
IF(I45&lt;&gt;"",_xlpm.MarriedName,_xlpm.FamilyName))))</f>
        <v>Brenda Lee Barker</v>
      </c>
      <c r="D45" t="b">
        <v>1</v>
      </c>
      <c r="F45" t="s">
        <v>241</v>
      </c>
      <c r="G45" t="s">
        <v>163</v>
      </c>
      <c r="H45" t="s">
        <v>312</v>
      </c>
      <c r="J45"/>
      <c r="K45" t="str">
        <f>IF(Index_of_People[[#This Row],[SpouseID]]="","",IFERROR(INDEX(Index_of_People[Metadata Name],MATCH(Index_of_People[[#This Row],[SpouseID]],Index_of_People[NameID],0)),""))</f>
        <v/>
      </c>
      <c r="L45" s="6"/>
      <c r="M45" s="2">
        <v>20042</v>
      </c>
      <c r="O45" s="2">
        <v>22559</v>
      </c>
      <c r="P45" t="b">
        <v>1</v>
      </c>
    </row>
    <row r="46" spans="1:16" x14ac:dyDescent="0.25">
      <c r="A46" s="6">
        <v>41</v>
      </c>
      <c r="B46" s="6" t="b">
        <v>0</v>
      </c>
      <c r="C46" t="str">
        <f>_xlfn.LET(
_xlpm.FamilyName,IF(F46="","",F46)&amp;IF(G46="",""," "&amp;G46)&amp;IF(H46="",""," "&amp;H46),
_xlpm.MarriedName,IF(F46="","",F46)&amp;IF(G46="",""," "&amp;G46)&amp;IF(I46="",""," "&amp;I46)&amp;IF(H46="",""," "&amp;"("&amp;H46)&amp;")",
TRIM(IF(Index_of_People[[#This Row],[Prefer NickName]]=TRUE,Index_of_People[[#This Row],[Nick Names]],
IF(I46&lt;&gt;"",_xlpm.MarriedName,_xlpm.FamilyName))))</f>
        <v>Brent</v>
      </c>
      <c r="D46" t="b">
        <v>0</v>
      </c>
      <c r="F46" t="s">
        <v>88</v>
      </c>
      <c r="J46" t="s">
        <v>473</v>
      </c>
      <c r="K46" t="str">
        <f>IF(Index_of_People[[#This Row],[SpouseID]]="","",IFERROR(INDEX(Index_of_People[Metadata Name],MATCH(Index_of_People[[#This Row],[SpouseID]],Index_of_People[NameID],0)),""))</f>
        <v/>
      </c>
      <c r="L46" s="6"/>
      <c r="M46" s="2" t="s">
        <v>490</v>
      </c>
      <c r="N46" s="2" t="s">
        <v>490</v>
      </c>
      <c r="O46" s="2" t="s">
        <v>490</v>
      </c>
      <c r="P46" t="b">
        <v>0</v>
      </c>
    </row>
    <row r="47" spans="1:16" x14ac:dyDescent="0.25">
      <c r="A47" s="6">
        <v>42</v>
      </c>
      <c r="B47" s="6" t="b">
        <v>0</v>
      </c>
      <c r="C47" t="str">
        <f>_xlfn.LET(
_xlpm.FamilyName,IF(F47="","",F47)&amp;IF(G47="",""," "&amp;G47)&amp;IF(H47="",""," "&amp;H47),
_xlpm.MarriedName,IF(F47="","",F47)&amp;IF(G47="",""," "&amp;G47)&amp;IF(I47="",""," "&amp;I47)&amp;IF(H47="",""," "&amp;"("&amp;H47)&amp;")",
TRIM(IF(Index_of_People[[#This Row],[Prefer NickName]]=TRUE,Index_of_People[[#This Row],[Nick Names]],
IF(I47&lt;&gt;"",_xlpm.MarriedName,_xlpm.FamilyName))))</f>
        <v>Brij Charan</v>
      </c>
      <c r="D47" t="b">
        <v>1</v>
      </c>
      <c r="F47" t="s">
        <v>89</v>
      </c>
      <c r="G47" t="s">
        <v>490</v>
      </c>
      <c r="H47" t="s">
        <v>313</v>
      </c>
      <c r="I47" t="s">
        <v>490</v>
      </c>
      <c r="J47" t="s">
        <v>490</v>
      </c>
      <c r="K47" t="str">
        <f>IF(Index_of_People[[#This Row],[SpouseID]]="","",IFERROR(INDEX(Index_of_People[Metadata Name],MATCH(Index_of_People[[#This Row],[SpouseID]],Index_of_People[NameID],0)),""))</f>
        <v/>
      </c>
      <c r="L47" s="6"/>
      <c r="M47" s="2" t="s">
        <v>490</v>
      </c>
      <c r="N47" s="2" t="s">
        <v>490</v>
      </c>
      <c r="O47" s="2" t="s">
        <v>490</v>
      </c>
      <c r="P47" t="b">
        <v>0</v>
      </c>
    </row>
    <row r="48" spans="1:16" x14ac:dyDescent="0.25">
      <c r="A48" s="6">
        <v>43</v>
      </c>
      <c r="B48" s="6" t="b">
        <v>0</v>
      </c>
      <c r="C48" t="str">
        <f>_xlfn.LET(
_xlpm.FamilyName,IF(F48="","",F48)&amp;IF(G48="",""," "&amp;G48)&amp;IF(H48="",""," "&amp;H48),
_xlpm.MarriedName,IF(F48="","",F48)&amp;IF(G48="",""," "&amp;G48)&amp;IF(I48="",""," "&amp;I48)&amp;IF(H48="",""," "&amp;"("&amp;H48)&amp;")",
TRIM(IF(Index_of_People[[#This Row],[Prefer NickName]]=TRUE,Index_of_People[[#This Row],[Nick Names]],
IF(I48&lt;&gt;"",_xlpm.MarriedName,_xlpm.FamilyName))))</f>
        <v>Bryan</v>
      </c>
      <c r="D48" t="b">
        <v>0</v>
      </c>
      <c r="F48" t="s">
        <v>242</v>
      </c>
      <c r="J48" t="s">
        <v>493</v>
      </c>
      <c r="K48" t="str">
        <f>IF(Index_of_People[[#This Row],[SpouseID]]="","",IFERROR(INDEX(Index_of_People[Metadata Name],MATCH(Index_of_People[[#This Row],[SpouseID]],Index_of_People[NameID],0)),""))</f>
        <v/>
      </c>
      <c r="L48" s="6"/>
      <c r="M48" s="2" t="s">
        <v>490</v>
      </c>
      <c r="N48" s="2" t="s">
        <v>490</v>
      </c>
      <c r="O48" s="2" t="s">
        <v>490</v>
      </c>
      <c r="P48" t="b">
        <v>0</v>
      </c>
    </row>
    <row r="49" spans="1:16" x14ac:dyDescent="0.25">
      <c r="A49" s="6">
        <v>44</v>
      </c>
      <c r="B49" s="6" t="b">
        <v>0</v>
      </c>
      <c r="C49" t="str">
        <f>_xlfn.LET(
_xlpm.FamilyName,IF(F49="","",F49)&amp;IF(G49="",""," "&amp;G49)&amp;IF(H49="",""," "&amp;H49),
_xlpm.MarriedName,IF(F49="","",F49)&amp;IF(G49="",""," "&amp;G49)&amp;IF(I49="",""," "&amp;I49)&amp;IF(H49="",""," "&amp;"("&amp;H49)&amp;")",
TRIM(IF(Index_of_People[[#This Row],[Prefer NickName]]=TRUE,Index_of_People[[#This Row],[Nick Names]],
IF(I49&lt;&gt;"",_xlpm.MarriedName,_xlpm.FamilyName))))</f>
        <v>Caleb Heath</v>
      </c>
      <c r="D49" t="b">
        <v>1</v>
      </c>
      <c r="F49" t="s">
        <v>90</v>
      </c>
      <c r="H49" t="s">
        <v>314</v>
      </c>
      <c r="J49"/>
      <c r="K49" t="str">
        <f>IF(Index_of_People[[#This Row],[SpouseID]]="","",IFERROR(INDEX(Index_of_People[Metadata Name],MATCH(Index_of_People[[#This Row],[SpouseID]],Index_of_People[NameID],0)),""))</f>
        <v/>
      </c>
      <c r="L49" s="6"/>
      <c r="M49" s="2" t="s">
        <v>490</v>
      </c>
      <c r="N49" s="2" t="s">
        <v>490</v>
      </c>
      <c r="O49" s="2" t="s">
        <v>490</v>
      </c>
      <c r="P49" t="b">
        <v>1</v>
      </c>
    </row>
    <row r="50" spans="1:16" x14ac:dyDescent="0.25">
      <c r="A50" s="6">
        <v>45</v>
      </c>
      <c r="B50" s="6" t="b">
        <v>0</v>
      </c>
      <c r="C50" t="str">
        <f>_xlfn.LET(
_xlpm.FamilyName,IF(F50="","",F50)&amp;IF(G50="",""," "&amp;G50)&amp;IF(H50="",""," "&amp;H50),
_xlpm.MarriedName,IF(F50="","",F50)&amp;IF(G50="",""," "&amp;G50)&amp;IF(I50="",""," "&amp;I50)&amp;IF(H50="",""," "&amp;"("&amp;H50)&amp;")",
TRIM(IF(Index_of_People[[#This Row],[Prefer NickName]]=TRUE,Index_of_People[[#This Row],[Nick Names]],
IF(I50&lt;&gt;"",_xlpm.MarriedName,_xlpm.FamilyName))))</f>
        <v>Carol Glover</v>
      </c>
      <c r="D50" t="b">
        <v>1</v>
      </c>
      <c r="F50" t="s">
        <v>91</v>
      </c>
      <c r="H50" t="s">
        <v>315</v>
      </c>
      <c r="J50"/>
      <c r="K50" t="str">
        <f>IF(Index_of_People[[#This Row],[SpouseID]]="","",IFERROR(INDEX(Index_of_People[Metadata Name],MATCH(Index_of_People[[#This Row],[SpouseID]],Index_of_People[NameID],0)),""))</f>
        <v/>
      </c>
      <c r="L50" s="6"/>
      <c r="M50" s="2" t="s">
        <v>490</v>
      </c>
      <c r="N50" s="2" t="s">
        <v>490</v>
      </c>
      <c r="O50" s="2" t="s">
        <v>490</v>
      </c>
      <c r="P50" t="b">
        <v>1</v>
      </c>
    </row>
    <row r="51" spans="1:16" x14ac:dyDescent="0.25">
      <c r="A51" s="6">
        <v>46</v>
      </c>
      <c r="B51" s="6" t="b">
        <v>1</v>
      </c>
      <c r="C51" t="str">
        <f>_xlfn.LET(
_xlpm.FamilyName,IF(F51="","",F51)&amp;IF(G51="",""," "&amp;G51)&amp;IF(H51="",""," "&amp;H51),
_xlpm.MarriedName,IF(F51="","",F51)&amp;IF(G51="",""," "&amp;G51)&amp;IF(I51="",""," "&amp;I51)&amp;IF(H51="",""," "&amp;"("&amp;H51)&amp;")",
TRIM(IF(Index_of_People[[#This Row],[Prefer NickName]]=TRUE,Index_of_People[[#This Row],[Nick Names]],
IF(I51&lt;&gt;"",_xlpm.MarriedName,_xlpm.FamilyName))))</f>
        <v>Carol Lemay (Penner)</v>
      </c>
      <c r="D51" t="b">
        <v>1</v>
      </c>
      <c r="F51" t="s">
        <v>91</v>
      </c>
      <c r="H51" t="s">
        <v>316</v>
      </c>
      <c r="I51" t="s">
        <v>295</v>
      </c>
      <c r="J51" t="s">
        <v>1338</v>
      </c>
      <c r="K51" t="str">
        <f>IF(Index_of_People[[#This Row],[SpouseID]]="","",IFERROR(INDEX(Index_of_People[Metadata Name],MATCH(Index_of_People[[#This Row],[SpouseID]],Index_of_People[NameID],0)),""))</f>
        <v>David Penner</v>
      </c>
      <c r="L51" s="6">
        <v>76</v>
      </c>
      <c r="M51" s="2" t="s">
        <v>490</v>
      </c>
      <c r="N51" s="2" t="s">
        <v>490</v>
      </c>
      <c r="O51" s="2" t="s">
        <v>490</v>
      </c>
      <c r="P51" t="b">
        <v>1</v>
      </c>
    </row>
    <row r="52" spans="1:16" ht="14.25" customHeight="1" x14ac:dyDescent="0.25">
      <c r="A52" s="6">
        <v>47</v>
      </c>
      <c r="B52" s="6" t="b">
        <v>0</v>
      </c>
      <c r="C52" t="str">
        <f>_xlfn.LET(
_xlpm.FamilyName,IF(F52="","",F52)&amp;IF(G52="",""," "&amp;G52)&amp;IF(H52="",""," "&amp;H52),
_xlpm.MarriedName,IF(F52="","",F52)&amp;IF(G52="",""," "&amp;G52)&amp;IF(I52="",""," "&amp;I52)&amp;IF(H52="",""," "&amp;"("&amp;H52)&amp;")",
TRIM(IF(Index_of_People[[#This Row],[Prefer NickName]]=TRUE,Index_of_People[[#This Row],[Nick Names]],
IF(I52&lt;&gt;"",_xlpm.MarriedName,_xlpm.FamilyName))))</f>
        <v>Carol Penner (Lemay)</v>
      </c>
      <c r="D52" t="b">
        <v>0</v>
      </c>
      <c r="F52" t="s">
        <v>91</v>
      </c>
      <c r="G52" t="s">
        <v>490</v>
      </c>
      <c r="H52" t="s">
        <v>316</v>
      </c>
      <c r="I52" t="s">
        <v>295</v>
      </c>
      <c r="J52" t="s">
        <v>490</v>
      </c>
      <c r="K52" t="str">
        <f>IF(Index_of_People[[#This Row],[SpouseID]]="","",IFERROR(INDEX(Index_of_People[Metadata Name],MATCH(Index_of_People[[#This Row],[SpouseID]],Index_of_People[NameID],0)),""))</f>
        <v/>
      </c>
      <c r="L52" s="6"/>
      <c r="M52" s="2" t="s">
        <v>490</v>
      </c>
      <c r="N52" s="2" t="s">
        <v>490</v>
      </c>
      <c r="O52" s="2" t="s">
        <v>490</v>
      </c>
      <c r="P52" t="b">
        <v>0</v>
      </c>
    </row>
    <row r="53" spans="1:16" ht="14.25" customHeight="1" x14ac:dyDescent="0.25">
      <c r="A53" s="6">
        <v>48</v>
      </c>
      <c r="B53" s="6" t="b">
        <v>0</v>
      </c>
      <c r="C53" t="str">
        <f>_xlfn.LET(
_xlpm.FamilyName,IF(F53="","",F53)&amp;IF(G53="",""," "&amp;G53)&amp;IF(H53="",""," "&amp;H53),
_xlpm.MarriedName,IF(F53="","",F53)&amp;IF(G53="",""," "&amp;G53)&amp;IF(I53="",""," "&amp;I53)&amp;IF(H53="",""," "&amp;"("&amp;H53)&amp;")",
TRIM(IF(Index_of_People[[#This Row],[Prefer NickName]]=TRUE,Index_of_People[[#This Row],[Nick Names]],
IF(I53&lt;&gt;"",_xlpm.MarriedName,_xlpm.FamilyName))))</f>
        <v>Caroline del Valle</v>
      </c>
      <c r="D53" t="b">
        <v>1</v>
      </c>
      <c r="F53" t="s">
        <v>243</v>
      </c>
      <c r="H53" t="s">
        <v>453</v>
      </c>
      <c r="J53"/>
      <c r="K53" t="str">
        <f>IF(Index_of_People[[#This Row],[SpouseID]]="","",IFERROR(INDEX(Index_of_People[Metadata Name],MATCH(Index_of_People[[#This Row],[SpouseID]],Index_of_People[NameID],0)),""))</f>
        <v>Vaughn del Valle</v>
      </c>
      <c r="L53" s="6">
        <v>351</v>
      </c>
      <c r="M53" s="2" t="s">
        <v>490</v>
      </c>
      <c r="N53" s="2" t="s">
        <v>490</v>
      </c>
      <c r="O53" s="2" t="s">
        <v>490</v>
      </c>
      <c r="P53" t="b">
        <v>1</v>
      </c>
    </row>
    <row r="54" spans="1:16" x14ac:dyDescent="0.25">
      <c r="A54" s="6">
        <v>49</v>
      </c>
      <c r="B54" s="6" t="b">
        <v>0</v>
      </c>
      <c r="C54" t="str">
        <f>_xlfn.LET(
_xlpm.FamilyName,IF(F54="","",F54)&amp;IF(G54="",""," "&amp;G54)&amp;IF(H54="",""," "&amp;H54),
_xlpm.MarriedName,IF(F54="","",F54)&amp;IF(G54="",""," "&amp;G54)&amp;IF(I54="",""," "&amp;I54)&amp;IF(H54="",""," "&amp;"("&amp;H54)&amp;")",
TRIM(IF(Index_of_People[[#This Row],[Prefer NickName]]=TRUE,Index_of_People[[#This Row],[Nick Names]],
IF(I54&lt;&gt;"",_xlpm.MarriedName,_xlpm.FamilyName))))</f>
        <v>Carolyn Acs</v>
      </c>
      <c r="D54" t="b">
        <v>1</v>
      </c>
      <c r="F54" t="s">
        <v>92</v>
      </c>
      <c r="H54" t="s">
        <v>318</v>
      </c>
      <c r="J54"/>
      <c r="K54" t="str">
        <f>IF(Index_of_People[[#This Row],[SpouseID]]="","",IFERROR(INDEX(Index_of_People[Metadata Name],MATCH(Index_of_People[[#This Row],[SpouseID]],Index_of_People[NameID],0)),""))</f>
        <v/>
      </c>
      <c r="L54" s="6"/>
      <c r="M54" s="2" t="s">
        <v>490</v>
      </c>
      <c r="N54" s="2" t="s">
        <v>490</v>
      </c>
      <c r="O54" s="2" t="s">
        <v>490</v>
      </c>
      <c r="P54" t="b">
        <v>0</v>
      </c>
    </row>
    <row r="55" spans="1:16" x14ac:dyDescent="0.25">
      <c r="A55" s="6">
        <v>50</v>
      </c>
      <c r="B55" s="6" t="b">
        <v>0</v>
      </c>
      <c r="C55" t="str">
        <f>_xlfn.LET(
_xlpm.FamilyName,IF(F55="","",F55)&amp;IF(G55="",""," "&amp;G55)&amp;IF(H55="",""," "&amp;H55),
_xlpm.MarriedName,IF(F55="","",F55)&amp;IF(G55="",""," "&amp;G55)&amp;IF(I55="",""," "&amp;I55)&amp;IF(H55="",""," "&amp;"("&amp;H55)&amp;")",
TRIM(IF(Index_of_People[[#This Row],[Prefer NickName]]=TRUE,Index_of_People[[#This Row],[Nick Names]],
IF(I55&lt;&gt;"",_xlpm.MarriedName,_xlpm.FamilyName))))</f>
        <v>Catherine Sheard</v>
      </c>
      <c r="D55" t="b">
        <v>1</v>
      </c>
      <c r="F55" t="s">
        <v>93</v>
      </c>
      <c r="H55" t="s">
        <v>319</v>
      </c>
      <c r="J55"/>
      <c r="K55" t="str">
        <f>IF(Index_of_People[[#This Row],[SpouseID]]="","",IFERROR(INDEX(Index_of_People[Metadata Name],MATCH(Index_of_People[[#This Row],[SpouseID]],Index_of_People[NameID],0)),""))</f>
        <v/>
      </c>
      <c r="L55" s="6"/>
      <c r="M55" s="2" t="s">
        <v>490</v>
      </c>
      <c r="N55" s="2" t="s">
        <v>490</v>
      </c>
      <c r="O55" s="2" t="s">
        <v>490</v>
      </c>
      <c r="P55" t="b">
        <v>0</v>
      </c>
    </row>
    <row r="56" spans="1:16" x14ac:dyDescent="0.25">
      <c r="A56" s="6">
        <v>51</v>
      </c>
      <c r="B56" s="6" t="b">
        <v>0</v>
      </c>
      <c r="C56" t="str">
        <f>_xlfn.LET(
_xlpm.FamilyName,IF(F56="","",F56)&amp;IF(G56="",""," "&amp;G56)&amp;IF(H56="",""," "&amp;H56),
_xlpm.MarriedName,IF(F56="","",F56)&amp;IF(G56="",""," "&amp;G56)&amp;IF(I56="",""," "&amp;I56)&amp;IF(H56="",""," "&amp;"("&amp;H56)&amp;")",
TRIM(IF(Index_of_People[[#This Row],[Prefer NickName]]=TRUE,Index_of_People[[#This Row],[Nick Names]],
IF(I56&lt;&gt;"",_xlpm.MarriedName,_xlpm.FamilyName))))</f>
        <v>Cathie Mitchell</v>
      </c>
      <c r="D56" t="b">
        <v>0</v>
      </c>
      <c r="F56" t="s">
        <v>485</v>
      </c>
      <c r="G56" t="s">
        <v>490</v>
      </c>
      <c r="H56" t="s">
        <v>271</v>
      </c>
      <c r="I56" t="s">
        <v>490</v>
      </c>
      <c r="J56" t="s">
        <v>490</v>
      </c>
      <c r="K56" t="str">
        <f>IF(Index_of_People[[#This Row],[SpouseID]]="","",IFERROR(INDEX(Index_of_People[Metadata Name],MATCH(Index_of_People[[#This Row],[SpouseID]],Index_of_People[NameID],0)),""))</f>
        <v/>
      </c>
      <c r="L56" s="6"/>
      <c r="M56" s="2" t="s">
        <v>490</v>
      </c>
      <c r="N56" s="2" t="s">
        <v>490</v>
      </c>
      <c r="O56" s="2" t="s">
        <v>490</v>
      </c>
      <c r="P56" t="b">
        <v>0</v>
      </c>
    </row>
    <row r="57" spans="1:16" x14ac:dyDescent="0.25">
      <c r="A57" s="6">
        <v>52</v>
      </c>
      <c r="B57" s="6" t="b">
        <v>0</v>
      </c>
      <c r="C57" t="str">
        <f>_xlfn.LET(
_xlpm.FamilyName,IF(F57="","",F57)&amp;IF(G57="",""," "&amp;G57)&amp;IF(H57="",""," "&amp;H57),
_xlpm.MarriedName,IF(F57="","",F57)&amp;IF(G57="",""," "&amp;G57)&amp;IF(I57="",""," "&amp;I57)&amp;IF(H57="",""," "&amp;"("&amp;H57)&amp;")",
TRIM(IF(Index_of_People[[#This Row],[Prefer NickName]]=TRUE,Index_of_People[[#This Row],[Nick Names]],
IF(I57&lt;&gt;"",_xlpm.MarriedName,_xlpm.FamilyName))))</f>
        <v>Cathie Penner (Mitchell)</v>
      </c>
      <c r="D57" t="b">
        <v>1</v>
      </c>
      <c r="F57" t="s">
        <v>485</v>
      </c>
      <c r="H57" t="s">
        <v>271</v>
      </c>
      <c r="I57" t="s">
        <v>295</v>
      </c>
      <c r="J57"/>
      <c r="K57" t="str">
        <f>IF(Index_of_People[[#This Row],[SpouseID]]="","",IFERROR(INDEX(Index_of_People[Metadata Name],MATCH(Index_of_People[[#This Row],[SpouseID]],Index_of_People[NameID],0)),""))</f>
        <v>Donald John Penner</v>
      </c>
      <c r="L57" s="6">
        <v>90</v>
      </c>
      <c r="M57" s="2">
        <v>22866</v>
      </c>
      <c r="N57" s="2">
        <v>31549</v>
      </c>
      <c r="P57" t="b">
        <v>1</v>
      </c>
    </row>
    <row r="58" spans="1:16" x14ac:dyDescent="0.25">
      <c r="A58" s="6">
        <v>53</v>
      </c>
      <c r="B58" s="6" t="b">
        <v>0</v>
      </c>
      <c r="C58" t="str">
        <f>_xlfn.LET(
_xlpm.FamilyName,IF(F58="","",F58)&amp;IF(G58="",""," "&amp;G58)&amp;IF(H58="",""," "&amp;H58),
_xlpm.MarriedName,IF(F58="","",F58)&amp;IF(G58="",""," "&amp;G58)&amp;IF(I58="",""," "&amp;I58)&amp;IF(H58="",""," "&amp;"("&amp;H58)&amp;")",
TRIM(IF(Index_of_People[[#This Row],[Prefer NickName]]=TRUE,Index_of_People[[#This Row],[Nick Names]],
IF(I58&lt;&gt;"",_xlpm.MarriedName,_xlpm.FamilyName))))</f>
        <v>Cecil Ethelbert Purnell Carey</v>
      </c>
      <c r="D58" t="b">
        <v>1</v>
      </c>
      <c r="F58" t="s">
        <v>244</v>
      </c>
      <c r="G58" t="s">
        <v>451</v>
      </c>
      <c r="H58" t="s">
        <v>320</v>
      </c>
      <c r="J58"/>
      <c r="K58" t="str">
        <f>IF(Index_of_People[[#This Row],[SpouseID]]="","",IFERROR(INDEX(Index_of_People[Metadata Name],MATCH(Index_of_People[[#This Row],[SpouseID]],Index_of_People[NameID],0)),""))</f>
        <v>Rosa Ann Carey (Dight)</v>
      </c>
      <c r="L58" s="6">
        <v>291</v>
      </c>
      <c r="M58" s="2" t="s">
        <v>490</v>
      </c>
      <c r="N58" s="2" t="s">
        <v>490</v>
      </c>
      <c r="O58" s="2" t="s">
        <v>490</v>
      </c>
      <c r="P58" t="b">
        <v>1</v>
      </c>
    </row>
    <row r="59" spans="1:16" x14ac:dyDescent="0.25">
      <c r="A59" s="6">
        <v>54</v>
      </c>
      <c r="B59" s="6" t="b">
        <v>0</v>
      </c>
      <c r="C59" t="str">
        <f>_xlfn.LET(
_xlpm.FamilyName,IF(F59="","",F59)&amp;IF(G59="",""," "&amp;G59)&amp;IF(H59="",""," "&amp;H59),
_xlpm.MarriedName,IF(F59="","",F59)&amp;IF(G59="",""," "&amp;G59)&amp;IF(I59="",""," "&amp;I59)&amp;IF(H59="",""," "&amp;"("&amp;H59)&amp;")",
TRIM(IF(Index_of_People[[#This Row],[Prefer NickName]]=TRUE,Index_of_People[[#This Row],[Nick Names]],
IF(I59&lt;&gt;"",_xlpm.MarriedName,_xlpm.FamilyName))))</f>
        <v>Charles Capezzuto</v>
      </c>
      <c r="D59" t="b">
        <v>1</v>
      </c>
      <c r="F59" t="s">
        <v>94</v>
      </c>
      <c r="H59" t="s">
        <v>321</v>
      </c>
      <c r="J59"/>
      <c r="K59" t="str">
        <f>IF(Index_of_People[[#This Row],[SpouseID]]="","",IFERROR(INDEX(Index_of_People[Metadata Name],MATCH(Index_of_People[[#This Row],[SpouseID]],Index_of_People[NameID],0)),""))</f>
        <v/>
      </c>
      <c r="L59" s="6"/>
      <c r="M59" s="2" t="s">
        <v>490</v>
      </c>
      <c r="N59" s="2" t="s">
        <v>490</v>
      </c>
      <c r="O59" s="2" t="s">
        <v>490</v>
      </c>
      <c r="P59" t="b">
        <v>1</v>
      </c>
    </row>
    <row r="60" spans="1:16" x14ac:dyDescent="0.25">
      <c r="A60" s="6">
        <v>55</v>
      </c>
      <c r="B60" s="6" t="b">
        <v>0</v>
      </c>
      <c r="C60" t="str">
        <f>_xlfn.LET(
_xlpm.FamilyName,IF(F60="","",F60)&amp;IF(G60="",""," "&amp;G60)&amp;IF(H60="",""," "&amp;H60),
_xlpm.MarriedName,IF(F60="","",F60)&amp;IF(G60="",""," "&amp;G60)&amp;IF(I60="",""," "&amp;I60)&amp;IF(H60="",""," "&amp;"("&amp;H60)&amp;")",
TRIM(IF(Index_of_People[[#This Row],[Prefer NickName]]=TRUE,Index_of_People[[#This Row],[Nick Names]],
IF(I60&lt;&gt;"",_xlpm.MarriedName,_xlpm.FamilyName))))</f>
        <v>Charlie Naylor</v>
      </c>
      <c r="D60" t="b">
        <v>1</v>
      </c>
      <c r="F60" t="s">
        <v>95</v>
      </c>
      <c r="H60" t="s">
        <v>322</v>
      </c>
      <c r="J60"/>
      <c r="K60" t="str">
        <f>IF(Index_of_People[[#This Row],[SpouseID]]="","",IFERROR(INDEX(Index_of_People[Metadata Name],MATCH(Index_of_People[[#This Row],[SpouseID]],Index_of_People[NameID],0)),""))</f>
        <v/>
      </c>
      <c r="L60" s="6"/>
      <c r="M60" s="2" t="s">
        <v>490</v>
      </c>
      <c r="N60" s="2" t="s">
        <v>490</v>
      </c>
      <c r="O60" s="2" t="s">
        <v>490</v>
      </c>
      <c r="P60" t="b">
        <v>0</v>
      </c>
    </row>
    <row r="61" spans="1:16" x14ac:dyDescent="0.25">
      <c r="A61" s="6">
        <v>56</v>
      </c>
      <c r="B61" s="6" t="b">
        <v>0</v>
      </c>
      <c r="C61" t="str">
        <f>_xlfn.LET(
_xlpm.FamilyName,IF(F61="","",F61)&amp;IF(G61="",""," "&amp;G61)&amp;IF(H61="",""," "&amp;H61),
_xlpm.MarriedName,IF(F61="","",F61)&amp;IF(G61="",""," "&amp;G61)&amp;IF(I61="",""," "&amp;I61)&amp;IF(H61="",""," "&amp;"("&amp;H61)&amp;")",
TRIM(IF(Index_of_People[[#This Row],[Prefer NickName]]=TRUE,Index_of_People[[#This Row],[Nick Names]],
IF(I61&lt;&gt;"",_xlpm.MarriedName,_xlpm.FamilyName))))</f>
        <v>Chris Hunter</v>
      </c>
      <c r="D61" t="b">
        <v>1</v>
      </c>
      <c r="F61" t="s">
        <v>96</v>
      </c>
      <c r="H61" t="s">
        <v>310</v>
      </c>
      <c r="J61"/>
      <c r="K61" t="str">
        <f>IF(Index_of_People[[#This Row],[SpouseID]]="","",IFERROR(INDEX(Index_of_People[Metadata Name],MATCH(Index_of_People[[#This Row],[SpouseID]],Index_of_People[NameID],0)),""))</f>
        <v>Jodie Pongracz</v>
      </c>
      <c r="L61" s="6">
        <v>170</v>
      </c>
      <c r="M61" s="2">
        <v>26872</v>
      </c>
      <c r="P61" t="b">
        <v>1</v>
      </c>
    </row>
    <row r="62" spans="1:16" x14ac:dyDescent="0.25">
      <c r="A62" s="6">
        <v>57</v>
      </c>
      <c r="B62" s="6" t="b">
        <v>0</v>
      </c>
      <c r="C62" t="str">
        <f>_xlfn.LET(
_xlpm.FamilyName,IF(F62="","",F62)&amp;IF(G62="",""," "&amp;G62)&amp;IF(H62="",""," "&amp;H62),
_xlpm.MarriedName,IF(F62="","",F62)&amp;IF(G62="",""," "&amp;G62)&amp;IF(I62="",""," "&amp;I62)&amp;IF(H62="",""," "&amp;"("&amp;H62)&amp;")",
TRIM(IF(Index_of_People[[#This Row],[Prefer NickName]]=TRUE,Index_of_People[[#This Row],[Nick Names]],
IF(I62&lt;&gt;"",_xlpm.MarriedName,_xlpm.FamilyName))))</f>
        <v>Chris Woods</v>
      </c>
      <c r="D62" t="b">
        <v>1</v>
      </c>
      <c r="F62" t="s">
        <v>96</v>
      </c>
      <c r="H62" t="s">
        <v>302</v>
      </c>
      <c r="J62"/>
      <c r="K62" t="str">
        <f>IF(Index_of_People[[#This Row],[SpouseID]]="","",IFERROR(INDEX(Index_of_People[Metadata Name],MATCH(Index_of_People[[#This Row],[SpouseID]],Index_of_People[NameID],0)),""))</f>
        <v>Angela Dawn Woods (Norris)</v>
      </c>
      <c r="L62" s="6">
        <v>19</v>
      </c>
      <c r="N62" s="2">
        <v>35932</v>
      </c>
      <c r="P62" t="b">
        <v>1</v>
      </c>
    </row>
    <row r="63" spans="1:16" x14ac:dyDescent="0.25">
      <c r="A63" s="6">
        <v>58</v>
      </c>
      <c r="B63" s="6" t="b">
        <v>0</v>
      </c>
      <c r="C63" t="str">
        <f>_xlfn.LET(
_xlpm.FamilyName,IF(F63="","",F63)&amp;IF(G63="",""," "&amp;G63)&amp;IF(H63="",""," "&amp;H63),
_xlpm.MarriedName,IF(F63="","",F63)&amp;IF(G63="",""," "&amp;G63)&amp;IF(I63="",""," "&amp;I63)&amp;IF(H63="",""," "&amp;"("&amp;H63)&amp;")",
TRIM(IF(Index_of_People[[#This Row],[Prefer NickName]]=TRUE,Index_of_People[[#This Row],[Nick Names]],
IF(I63&lt;&gt;"",_xlpm.MarriedName,_xlpm.FamilyName))))</f>
        <v>Christopher John Hunter</v>
      </c>
      <c r="D63" t="b">
        <v>0</v>
      </c>
      <c r="F63" t="s">
        <v>245</v>
      </c>
      <c r="G63" t="s">
        <v>148</v>
      </c>
      <c r="H63" t="s">
        <v>310</v>
      </c>
      <c r="I63" t="s">
        <v>490</v>
      </c>
      <c r="J63" t="s">
        <v>490</v>
      </c>
      <c r="K63" t="str">
        <f>IF(Index_of_People[[#This Row],[SpouseID]]="","",IFERROR(INDEX(Index_of_People[Metadata Name],MATCH(Index_of_People[[#This Row],[SpouseID]],Index_of_People[NameID],0)),""))</f>
        <v/>
      </c>
      <c r="L63" s="6"/>
      <c r="M63" s="2" t="s">
        <v>490</v>
      </c>
      <c r="N63" s="2" t="s">
        <v>490</v>
      </c>
      <c r="O63" s="2" t="s">
        <v>490</v>
      </c>
      <c r="P63" t="b">
        <v>0</v>
      </c>
    </row>
    <row r="64" spans="1:16" x14ac:dyDescent="0.25">
      <c r="A64" s="6">
        <v>59</v>
      </c>
      <c r="B64" s="6" t="b">
        <v>0</v>
      </c>
      <c r="C64" t="str">
        <f>_xlfn.LET(
_xlpm.FamilyName,IF(F64="","",F64)&amp;IF(G64="",""," "&amp;G64)&amp;IF(H64="",""," "&amp;H64),
_xlpm.MarriedName,IF(F64="","",F64)&amp;IF(G64="",""," "&amp;G64)&amp;IF(I64="",""," "&amp;I64)&amp;IF(H64="",""," "&amp;"("&amp;H64)&amp;")",
TRIM(IF(Index_of_People[[#This Row],[Prefer NickName]]=TRUE,Index_of_People[[#This Row],[Nick Names]],
IF(I64&lt;&gt;"",_xlpm.MarriedName,_xlpm.FamilyName))))</f>
        <v>Claire</v>
      </c>
      <c r="D64" t="b">
        <v>1</v>
      </c>
      <c r="F64" t="s">
        <v>34</v>
      </c>
      <c r="J64"/>
      <c r="K64" t="str">
        <f>IF(Index_of_People[[#This Row],[SpouseID]]="","",IFERROR(INDEX(Index_of_People[Metadata Name],MATCH(Index_of_People[[#This Row],[SpouseID]],Index_of_People[NameID],0)),""))</f>
        <v/>
      </c>
      <c r="L64" s="6"/>
      <c r="M64" s="2" t="s">
        <v>490</v>
      </c>
      <c r="N64" s="2" t="s">
        <v>490</v>
      </c>
      <c r="O64" s="2" t="s">
        <v>490</v>
      </c>
      <c r="P64" t="b">
        <v>0</v>
      </c>
    </row>
    <row r="65" spans="1:16" x14ac:dyDescent="0.25">
      <c r="A65" s="6">
        <v>60</v>
      </c>
      <c r="B65" s="6" t="b">
        <v>0</v>
      </c>
      <c r="C65" t="str">
        <f>_xlfn.LET(
_xlpm.FamilyName,IF(F65="","",F65)&amp;IF(G65="",""," "&amp;G65)&amp;IF(H65="",""," "&amp;H65),
_xlpm.MarriedName,IF(F65="","",F65)&amp;IF(G65="",""," "&amp;G65)&amp;IF(I65="",""," "&amp;I65)&amp;IF(H65="",""," "&amp;"("&amp;H65)&amp;")",
TRIM(IF(Index_of_People[[#This Row],[Prefer NickName]]=TRUE,Index_of_People[[#This Row],[Nick Names]],
IF(I65&lt;&gt;"",_xlpm.MarriedName,_xlpm.FamilyName))))</f>
        <v>Clare Forrester</v>
      </c>
      <c r="D65" t="b">
        <v>0</v>
      </c>
      <c r="F65" t="s">
        <v>246</v>
      </c>
      <c r="G65" t="s">
        <v>296</v>
      </c>
      <c r="J65" t="s">
        <v>471</v>
      </c>
      <c r="K65" t="str">
        <f>IF(Index_of_People[[#This Row],[SpouseID]]="","",IFERROR(INDEX(Index_of_People[Metadata Name],MATCH(Index_of_People[[#This Row],[SpouseID]],Index_of_People[NameID],0)),""))</f>
        <v/>
      </c>
      <c r="L65" s="6"/>
      <c r="M65" s="2" t="s">
        <v>490</v>
      </c>
      <c r="N65" s="2" t="s">
        <v>490</v>
      </c>
      <c r="O65" s="2" t="s">
        <v>490</v>
      </c>
      <c r="P65" t="b">
        <v>0</v>
      </c>
    </row>
    <row r="66" spans="1:16" x14ac:dyDescent="0.25">
      <c r="A66" s="6">
        <v>61</v>
      </c>
      <c r="B66" s="6" t="b">
        <v>0</v>
      </c>
      <c r="C66" t="str">
        <f>_xlfn.LET(
_xlpm.FamilyName,IF(F66="","",F66)&amp;IF(G66="",""," "&amp;G66)&amp;IF(H66="",""," "&amp;H66),
_xlpm.MarriedName,IF(F66="","",F66)&amp;IF(G66="",""," "&amp;G66)&amp;IF(I66="",""," "&amp;I66)&amp;IF(H66="",""," "&amp;"("&amp;H66)&amp;")",
TRIM(IF(Index_of_People[[#This Row],[Prefer NickName]]=TRUE,Index_of_People[[#This Row],[Nick Names]],
IF(I66&lt;&gt;"",_xlpm.MarriedName,_xlpm.FamilyName))))</f>
        <v>Cliff Capezzuto</v>
      </c>
      <c r="D66" t="b">
        <v>1</v>
      </c>
      <c r="F66" t="s">
        <v>481</v>
      </c>
      <c r="H66" t="s">
        <v>321</v>
      </c>
      <c r="J66"/>
      <c r="K66" t="str">
        <f>IF(Index_of_People[[#This Row],[SpouseID]]="","",IFERROR(INDEX(Index_of_People[Metadata Name],MATCH(Index_of_People[[#This Row],[SpouseID]],Index_of_People[NameID],0)),""))</f>
        <v>Sandra Capezzuto (Hunter)</v>
      </c>
      <c r="L66" s="6">
        <v>305</v>
      </c>
      <c r="P66" t="b">
        <v>1</v>
      </c>
    </row>
    <row r="67" spans="1:16" x14ac:dyDescent="0.25">
      <c r="A67" s="6">
        <v>62</v>
      </c>
      <c r="B67" s="6" t="b">
        <v>0</v>
      </c>
      <c r="C67" t="str">
        <f>_xlfn.LET(
_xlpm.FamilyName,IF(F67="","",F67)&amp;IF(G67="",""," "&amp;G67)&amp;IF(H67="",""," "&amp;H67),
_xlpm.MarriedName,IF(F67="","",F67)&amp;IF(G67="",""," "&amp;G67)&amp;IF(I67="",""," "&amp;I67)&amp;IF(H67="",""," "&amp;"("&amp;H67)&amp;")",
TRIM(IF(Index_of_People[[#This Row],[Prefer NickName]]=TRUE,Index_of_People[[#This Row],[Nick Names]],
IF(I67&lt;&gt;"",_xlpm.MarriedName,_xlpm.FamilyName))))</f>
        <v>Clifton Cann</v>
      </c>
      <c r="D67" t="b">
        <v>1</v>
      </c>
      <c r="F67" t="s">
        <v>97</v>
      </c>
      <c r="H67" t="s">
        <v>323</v>
      </c>
      <c r="J67"/>
      <c r="K67" t="str">
        <f>IF(Index_of_People[[#This Row],[SpouseID]]="","",IFERROR(INDEX(Index_of_People[Metadata Name],MATCH(Index_of_People[[#This Row],[SpouseID]],Index_of_People[NameID],0)),""))</f>
        <v>Rhys [Valerie] del Valle</v>
      </c>
      <c r="L67" s="6">
        <v>275</v>
      </c>
      <c r="M67" s="2" t="s">
        <v>490</v>
      </c>
      <c r="N67" s="2">
        <v>39942</v>
      </c>
      <c r="O67" s="2" t="s">
        <v>490</v>
      </c>
      <c r="P67" t="b">
        <v>1</v>
      </c>
    </row>
    <row r="68" spans="1:16" x14ac:dyDescent="0.25">
      <c r="A68" s="6">
        <v>63</v>
      </c>
      <c r="B68" s="6" t="b">
        <v>0</v>
      </c>
      <c r="C68" t="str">
        <f>_xlfn.LET(
_xlpm.FamilyName,IF(F68="","",F68)&amp;IF(G68="",""," "&amp;G68)&amp;IF(H68="",""," "&amp;H68),
_xlpm.MarriedName,IF(F68="","",F68)&amp;IF(G68="",""," "&amp;G68)&amp;IF(I68="",""," "&amp;I68)&amp;IF(H68="",""," "&amp;"("&amp;H68)&amp;")",
TRIM(IF(Index_of_People[[#This Row],[Prefer NickName]]=TRUE,Index_of_People[[#This Row],[Nick Names]],
IF(I68&lt;&gt;"",_xlpm.MarriedName,_xlpm.FamilyName))))</f>
        <v>Coen del Valle</v>
      </c>
      <c r="D68" t="b">
        <v>1</v>
      </c>
      <c r="F68" t="s">
        <v>247</v>
      </c>
      <c r="H68" t="s">
        <v>453</v>
      </c>
      <c r="J68"/>
      <c r="K68" t="str">
        <f>IF(Index_of_People[[#This Row],[SpouseID]]="","",IFERROR(INDEX(Index_of_People[Metadata Name],MATCH(Index_of_People[[#This Row],[SpouseID]],Index_of_People[NameID],0)),""))</f>
        <v/>
      </c>
      <c r="L68" s="6"/>
      <c r="M68" s="2" t="s">
        <v>490</v>
      </c>
      <c r="N68" s="2" t="s">
        <v>490</v>
      </c>
      <c r="O68" s="2" t="s">
        <v>490</v>
      </c>
      <c r="P68" t="b">
        <v>1</v>
      </c>
    </row>
    <row r="69" spans="1:16" x14ac:dyDescent="0.25">
      <c r="A69" s="6">
        <v>64</v>
      </c>
      <c r="B69" s="6" t="b">
        <v>0</v>
      </c>
      <c r="C69" t="str">
        <f>_xlfn.LET(
_xlpm.FamilyName,IF(F69="","",F69)&amp;IF(G69="",""," "&amp;G69)&amp;IF(H69="",""," "&amp;H69),
_xlpm.MarriedName,IF(F69="","",F69)&amp;IF(G69="",""," "&amp;G69)&amp;IF(I69="",""," "&amp;I69)&amp;IF(H69="",""," "&amp;"("&amp;H69)&amp;")",
TRIM(IF(Index_of_People[[#This Row],[Prefer NickName]]=TRUE,Index_of_People[[#This Row],[Nick Names]],
IF(I69&lt;&gt;"",_xlpm.MarriedName,_xlpm.FamilyName))))</f>
        <v>Colton Webb</v>
      </c>
      <c r="D69" t="b">
        <v>1</v>
      </c>
      <c r="F69" t="s">
        <v>98</v>
      </c>
      <c r="H69" t="s">
        <v>324</v>
      </c>
      <c r="J69"/>
      <c r="K69" t="str">
        <f>IF(Index_of_People[[#This Row],[SpouseID]]="","",IFERROR(INDEX(Index_of_People[Metadata Name],MATCH(Index_of_People[[#This Row],[SpouseID]],Index_of_People[NameID],0)),""))</f>
        <v/>
      </c>
      <c r="L69" s="6"/>
      <c r="M69" s="2" t="s">
        <v>490</v>
      </c>
      <c r="N69" s="2" t="s">
        <v>490</v>
      </c>
      <c r="O69" s="2" t="s">
        <v>490</v>
      </c>
      <c r="P69" t="b">
        <v>0</v>
      </c>
    </row>
    <row r="70" spans="1:16" x14ac:dyDescent="0.25">
      <c r="A70" s="6">
        <v>65</v>
      </c>
      <c r="B70" s="6" t="b">
        <v>0</v>
      </c>
      <c r="C70" t="str">
        <f>_xlfn.LET(
_xlpm.FamilyName,IF(F70="","",F70)&amp;IF(G70="",""," "&amp;G70)&amp;IF(H70="",""," "&amp;H70),
_xlpm.MarriedName,IF(F70="","",F70)&amp;IF(G70="",""," "&amp;G70)&amp;IF(I70="",""," "&amp;I70)&amp;IF(H70="",""," "&amp;"("&amp;H70)&amp;")",
TRIM(IF(Index_of_People[[#This Row],[Prefer NickName]]=TRUE,Index_of_People[[#This Row],[Nick Names]],
IF(I70&lt;&gt;"",_xlpm.MarriedName,_xlpm.FamilyName))))</f>
        <v>Connie Barker (Skinner)</v>
      </c>
      <c r="D70" t="b">
        <v>1</v>
      </c>
      <c r="F70" t="s">
        <v>248</v>
      </c>
      <c r="H70" t="s">
        <v>480</v>
      </c>
      <c r="I70" t="s">
        <v>312</v>
      </c>
      <c r="J70"/>
      <c r="K70" t="str">
        <f>IF(Index_of_People[[#This Row],[SpouseID]]="","",IFERROR(INDEX(Index_of_People[Metadata Name],MATCH(Index_of_People[[#This Row],[SpouseID]],Index_of_People[NameID],0)),""))</f>
        <v>Rick Barker</v>
      </c>
      <c r="L70" s="6">
        <v>280</v>
      </c>
      <c r="N70" s="2">
        <v>31652</v>
      </c>
      <c r="P70" t="b">
        <v>1</v>
      </c>
    </row>
    <row r="71" spans="1:16" x14ac:dyDescent="0.25">
      <c r="A71" s="6">
        <v>66</v>
      </c>
      <c r="B71" s="6" t="b">
        <v>0</v>
      </c>
      <c r="C71" t="str">
        <f>_xlfn.LET(
_xlpm.FamilyName,IF(F71="","",F71)&amp;IF(G71="",""," "&amp;G71)&amp;IF(H71="",""," "&amp;H71),
_xlpm.MarriedName,IF(F71="","",F71)&amp;IF(G71="",""," "&amp;G71)&amp;IF(I71="",""," "&amp;I71)&amp;IF(H71="",""," "&amp;"("&amp;H71)&amp;")",
TRIM(IF(Index_of_People[[#This Row],[Prefer NickName]]=TRUE,Index_of_People[[#This Row],[Nick Names]],
IF(I71&lt;&gt;"",_xlpm.MarriedName,_xlpm.FamilyName))))</f>
        <v>Cookie</v>
      </c>
      <c r="D71" t="b">
        <v>0</v>
      </c>
      <c r="F71" t="s">
        <v>99</v>
      </c>
      <c r="J71" t="s">
        <v>475</v>
      </c>
      <c r="K71" t="str">
        <f>IF(Index_of_People[[#This Row],[SpouseID]]="","",IFERROR(INDEX(Index_of_People[Metadata Name],MATCH(Index_of_People[[#This Row],[SpouseID]],Index_of_People[NameID],0)),""))</f>
        <v/>
      </c>
      <c r="L71" s="6"/>
      <c r="M71" s="2" t="s">
        <v>490</v>
      </c>
      <c r="N71" s="2" t="s">
        <v>490</v>
      </c>
      <c r="O71" s="2" t="s">
        <v>490</v>
      </c>
      <c r="P71" t="b">
        <v>0</v>
      </c>
    </row>
    <row r="72" spans="1:16" x14ac:dyDescent="0.25">
      <c r="A72" s="6">
        <v>67</v>
      </c>
      <c r="B72" s="6" t="b">
        <v>0</v>
      </c>
      <c r="C72" t="str">
        <f>_xlfn.LET(
_xlpm.FamilyName,IF(F72="","",F72)&amp;IF(G72="",""," "&amp;G72)&amp;IF(H72="",""," "&amp;H72),
_xlpm.MarriedName,IF(F72="","",F72)&amp;IF(G72="",""," "&amp;G72)&amp;IF(I72="",""," "&amp;I72)&amp;IF(H72="",""," "&amp;"("&amp;H72)&amp;")",
TRIM(IF(Index_of_People[[#This Row],[Prefer NickName]]=TRUE,Index_of_People[[#This Row],[Nick Names]],
IF(I72&lt;&gt;"",_xlpm.MarriedName,_xlpm.FamilyName))))</f>
        <v>Corey Wiens</v>
      </c>
      <c r="D72" t="b">
        <v>1</v>
      </c>
      <c r="F72" t="s">
        <v>100</v>
      </c>
      <c r="H72" t="s">
        <v>325</v>
      </c>
      <c r="J72"/>
      <c r="K72" t="str">
        <f>IF(Index_of_People[[#This Row],[SpouseID]]="","",IFERROR(INDEX(Index_of_People[Metadata Name],MATCH(Index_of_People[[#This Row],[SpouseID]],Index_of_People[NameID],0)),""))</f>
        <v/>
      </c>
      <c r="L72" s="6"/>
      <c r="M72" s="2" t="s">
        <v>490</v>
      </c>
      <c r="N72" s="2" t="s">
        <v>490</v>
      </c>
      <c r="O72" s="2" t="s">
        <v>490</v>
      </c>
      <c r="P72" t="b">
        <v>0</v>
      </c>
    </row>
    <row r="73" spans="1:16" x14ac:dyDescent="0.25">
      <c r="A73" s="6">
        <v>68</v>
      </c>
      <c r="B73" s="6" t="b">
        <v>0</v>
      </c>
      <c r="C73" t="str">
        <f>_xlfn.LET(
_xlpm.FamilyName,IF(F73="","",F73)&amp;IF(G73="",""," "&amp;G73)&amp;IF(H73="",""," "&amp;H73),
_xlpm.MarriedName,IF(F73="","",F73)&amp;IF(G73="",""," "&amp;G73)&amp;IF(I73="",""," "&amp;I73)&amp;IF(H73="",""," "&amp;"("&amp;H73)&amp;")",
TRIM(IF(Index_of_People[[#This Row],[Prefer NickName]]=TRUE,Index_of_People[[#This Row],[Nick Names]],
IF(I73&lt;&gt;"",_xlpm.MarriedName,_xlpm.FamilyName))))</f>
        <v>Curtis Heath</v>
      </c>
      <c r="D73" t="b">
        <v>1</v>
      </c>
      <c r="F73" t="s">
        <v>101</v>
      </c>
      <c r="H73" t="s">
        <v>314</v>
      </c>
      <c r="J73"/>
      <c r="K73" t="str">
        <f>IF(Index_of_People[[#This Row],[SpouseID]]="","",IFERROR(INDEX(Index_of_People[Metadata Name],MATCH(Index_of_People[[#This Row],[SpouseID]],Index_of_People[NameID],0)),""))</f>
        <v>Birdie</v>
      </c>
      <c r="L73" s="6">
        <v>31</v>
      </c>
      <c r="M73" s="2" t="s">
        <v>490</v>
      </c>
      <c r="N73" s="2">
        <v>35932</v>
      </c>
      <c r="O73" s="2" t="s">
        <v>490</v>
      </c>
      <c r="P73" t="b">
        <v>1</v>
      </c>
    </row>
    <row r="74" spans="1:16" x14ac:dyDescent="0.25">
      <c r="A74" s="6">
        <v>69</v>
      </c>
      <c r="B74" s="6" t="b">
        <v>0</v>
      </c>
      <c r="C74" t="str">
        <f>_xlfn.LET(
_xlpm.FamilyName,IF(F74="","",F74)&amp;IF(G74="",""," "&amp;G74)&amp;IF(H74="",""," "&amp;H74),
_xlpm.MarriedName,IF(F74="","",F74)&amp;IF(G74="",""," "&amp;G74)&amp;IF(I74="",""," "&amp;I74)&amp;IF(H74="",""," "&amp;"("&amp;H74)&amp;")",
TRIM(IF(Index_of_People[[#This Row],[Prefer NickName]]=TRUE,Index_of_People[[#This Row],[Nick Names]],
IF(I74&lt;&gt;"",_xlpm.MarriedName,_xlpm.FamilyName))))</f>
        <v>Dana</v>
      </c>
      <c r="D74" t="b">
        <v>0</v>
      </c>
      <c r="F74" t="s">
        <v>102</v>
      </c>
      <c r="J74" t="s">
        <v>473</v>
      </c>
      <c r="K74" t="str">
        <f>IF(Index_of_People[[#This Row],[SpouseID]]="","",IFERROR(INDEX(Index_of_People[Metadata Name],MATCH(Index_of_People[[#This Row],[SpouseID]],Index_of_People[NameID],0)),""))</f>
        <v/>
      </c>
      <c r="L74" s="6"/>
      <c r="M74" s="2" t="s">
        <v>490</v>
      </c>
      <c r="N74" s="2" t="s">
        <v>490</v>
      </c>
      <c r="O74" s="2" t="s">
        <v>490</v>
      </c>
      <c r="P74" t="b">
        <v>0</v>
      </c>
    </row>
    <row r="75" spans="1:16" x14ac:dyDescent="0.25">
      <c r="A75" s="6">
        <v>70</v>
      </c>
      <c r="B75" s="6" t="b">
        <v>0</v>
      </c>
      <c r="C75" t="str">
        <f>_xlfn.LET(
_xlpm.FamilyName,IF(F75="","",F75)&amp;IF(G75="",""," "&amp;G75)&amp;IF(H75="",""," "&amp;H75),
_xlpm.MarriedName,IF(F75="","",F75)&amp;IF(G75="",""," "&amp;G75)&amp;IF(I75="",""," "&amp;I75)&amp;IF(H75="",""," "&amp;"("&amp;H75)&amp;")",
TRIM(IF(Index_of_People[[#This Row],[Prefer NickName]]=TRUE,Index_of_People[[#This Row],[Nick Names]],
IF(I75&lt;&gt;"",_xlpm.MarriedName,_xlpm.FamilyName))))</f>
        <v>Danielle Olson</v>
      </c>
      <c r="D75" t="b">
        <v>0</v>
      </c>
      <c r="F75" t="s">
        <v>103</v>
      </c>
      <c r="H75" t="s">
        <v>3</v>
      </c>
      <c r="J75"/>
      <c r="K75" t="str">
        <f>IF(Index_of_People[[#This Row],[SpouseID]]="","",IFERROR(INDEX(Index_of_People[Metadata Name],MATCH(Index_of_People[[#This Row],[SpouseID]],Index_of_People[NameID],0)),""))</f>
        <v/>
      </c>
      <c r="L75" s="6"/>
      <c r="M75" s="2" t="s">
        <v>490</v>
      </c>
      <c r="N75" s="2" t="s">
        <v>490</v>
      </c>
      <c r="O75" s="2" t="s">
        <v>490</v>
      </c>
      <c r="P75" t="b">
        <v>0</v>
      </c>
    </row>
    <row r="76" spans="1:16" x14ac:dyDescent="0.25">
      <c r="A76" s="6">
        <v>71</v>
      </c>
      <c r="B76" s="6" t="b">
        <v>0</v>
      </c>
      <c r="C76" t="str">
        <f>_xlfn.LET(
_xlpm.FamilyName,IF(F76="","",F76)&amp;IF(G76="",""," "&amp;G76)&amp;IF(H76="",""," "&amp;H76),
_xlpm.MarriedName,IF(F76="","",F76)&amp;IF(G76="",""," "&amp;G76)&amp;IF(I76="",""," "&amp;I76)&amp;IF(H76="",""," "&amp;"("&amp;H76)&amp;")",
TRIM(IF(Index_of_People[[#This Row],[Prefer NickName]]=TRUE,Index_of_People[[#This Row],[Nick Names]],
IF(I76&lt;&gt;"",_xlpm.MarriedName,_xlpm.FamilyName))))</f>
        <v>Darren Norris</v>
      </c>
      <c r="D76" t="b">
        <v>1</v>
      </c>
      <c r="F76" t="s">
        <v>104</v>
      </c>
      <c r="H76" t="s">
        <v>326</v>
      </c>
      <c r="J76"/>
      <c r="K76" t="str">
        <f>IF(Index_of_People[[#This Row],[SpouseID]]="","",IFERROR(INDEX(Index_of_People[Metadata Name],MATCH(Index_of_People[[#This Row],[SpouseID]],Index_of_People[NameID],0)),""))</f>
        <v/>
      </c>
      <c r="L76" s="6"/>
      <c r="M76" s="2">
        <v>25598</v>
      </c>
      <c r="P76" t="b">
        <v>1</v>
      </c>
    </row>
    <row r="77" spans="1:16" x14ac:dyDescent="0.25">
      <c r="A77" s="6">
        <v>72</v>
      </c>
      <c r="B77" s="6" t="b">
        <v>0</v>
      </c>
      <c r="C77" t="str">
        <f>_xlfn.LET(
_xlpm.FamilyName,IF(F77="","",F77)&amp;IF(G77="",""," "&amp;G77)&amp;IF(H77="",""," "&amp;H77),
_xlpm.MarriedName,IF(F77="","",F77)&amp;IF(G77="",""," "&amp;G77)&amp;IF(I77="",""," "&amp;I77)&amp;IF(H77="",""," "&amp;"("&amp;H77)&amp;")",
TRIM(IF(Index_of_People[[#This Row],[Prefer NickName]]=TRUE,Index_of_People[[#This Row],[Nick Names]],
IF(I77&lt;&gt;"",_xlpm.MarriedName,_xlpm.FamilyName))))</f>
        <v>Darryl Hunter</v>
      </c>
      <c r="D77" t="b">
        <v>1</v>
      </c>
      <c r="F77" t="s">
        <v>484</v>
      </c>
      <c r="H77" t="s">
        <v>310</v>
      </c>
      <c r="J77"/>
      <c r="K77" t="str">
        <f>IF(Index_of_People[[#This Row],[SpouseID]]="","",IFERROR(INDEX(Index_of_People[Metadata Name],MATCH(Index_of_People[[#This Row],[SpouseID]],Index_of_People[NameID],0)),""))</f>
        <v/>
      </c>
      <c r="L77" s="6"/>
      <c r="M77" s="2">
        <v>24168</v>
      </c>
      <c r="O77" s="2">
        <v>29202</v>
      </c>
      <c r="P77" t="b">
        <v>1</v>
      </c>
    </row>
    <row r="78" spans="1:16" x14ac:dyDescent="0.25">
      <c r="A78" s="6">
        <v>73</v>
      </c>
      <c r="B78" s="6" t="b">
        <v>0</v>
      </c>
      <c r="C78" t="str">
        <f>_xlfn.LET(
_xlpm.FamilyName,IF(F78="","",F78)&amp;IF(G78="",""," "&amp;G78)&amp;IF(H78="",""," "&amp;H78),
_xlpm.MarriedName,IF(F78="","",F78)&amp;IF(G78="",""," "&amp;G78)&amp;IF(I78="",""," "&amp;I78)&amp;IF(H78="",""," "&amp;"("&amp;H78)&amp;")",
TRIM(IF(Index_of_People[[#This Row],[Prefer NickName]]=TRUE,Index_of_People[[#This Row],[Nick Names]],
IF(I78&lt;&gt;"",_xlpm.MarriedName,_xlpm.FamilyName))))</f>
        <v>Dave Byng</v>
      </c>
      <c r="D78" t="b">
        <v>1</v>
      </c>
      <c r="F78" t="s">
        <v>105</v>
      </c>
      <c r="G78" t="s">
        <v>490</v>
      </c>
      <c r="H78" t="s">
        <v>327</v>
      </c>
      <c r="I78" t="s">
        <v>490</v>
      </c>
      <c r="J78" t="s">
        <v>490</v>
      </c>
      <c r="K78" t="str">
        <f>IF(Index_of_People[[#This Row],[SpouseID]]="","",IFERROR(INDEX(Index_of_People[Metadata Name],MATCH(Index_of_People[[#This Row],[SpouseID]],Index_of_People[NameID],0)),""))</f>
        <v/>
      </c>
      <c r="L78" s="6"/>
      <c r="M78" s="2" t="s">
        <v>490</v>
      </c>
      <c r="N78" s="2" t="s">
        <v>490</v>
      </c>
      <c r="O78" s="2" t="s">
        <v>490</v>
      </c>
      <c r="P78" t="b">
        <v>0</v>
      </c>
    </row>
    <row r="79" spans="1:16" x14ac:dyDescent="0.25">
      <c r="A79" s="6">
        <v>74</v>
      </c>
      <c r="B79" s="6" t="b">
        <v>0</v>
      </c>
      <c r="C79" t="str">
        <f>_xlfn.LET(
_xlpm.FamilyName,IF(F79="","",F79)&amp;IF(G79="",""," "&amp;G79)&amp;IF(H79="",""," "&amp;H79),
_xlpm.MarriedName,IF(F79="","",F79)&amp;IF(G79="",""," "&amp;G79)&amp;IF(I79="",""," "&amp;I79)&amp;IF(H79="",""," "&amp;"("&amp;H79)&amp;")",
TRIM(IF(Index_of_People[[#This Row],[Prefer NickName]]=TRUE,Index_of_People[[#This Row],[Nick Names]],
IF(I79&lt;&gt;"",_xlpm.MarriedName,_xlpm.FamilyName))))</f>
        <v>Dave Sheard</v>
      </c>
      <c r="D79" t="b">
        <v>1</v>
      </c>
      <c r="F79" t="s">
        <v>105</v>
      </c>
      <c r="H79" t="s">
        <v>319</v>
      </c>
      <c r="J79"/>
      <c r="K79" t="str">
        <f>IF(Index_of_People[[#This Row],[SpouseID]]="","",IFERROR(INDEX(Index_of_People[Metadata Name],MATCH(Index_of_People[[#This Row],[SpouseID]],Index_of_People[NameID],0)),""))</f>
        <v/>
      </c>
      <c r="L79" s="6"/>
      <c r="M79" s="2" t="s">
        <v>490</v>
      </c>
      <c r="N79" s="2" t="s">
        <v>490</v>
      </c>
      <c r="O79" s="2" t="s">
        <v>490</v>
      </c>
      <c r="P79" t="b">
        <v>0</v>
      </c>
    </row>
    <row r="80" spans="1:16" x14ac:dyDescent="0.25">
      <c r="A80" s="6">
        <v>75</v>
      </c>
      <c r="B80" s="6" t="b">
        <v>0</v>
      </c>
      <c r="C80" t="str">
        <f>_xlfn.LET(
_xlpm.FamilyName,IF(F80="","",F80)&amp;IF(G80="",""," "&amp;G80)&amp;IF(H80="",""," "&amp;H80),
_xlpm.MarriedName,IF(F80="","",F80)&amp;IF(G80="",""," "&amp;G80)&amp;IF(I80="",""," "&amp;I80)&amp;IF(H80="",""," "&amp;"("&amp;H80)&amp;")",
TRIM(IF(Index_of_People[[#This Row],[Prefer NickName]]=TRUE,Index_of_People[[#This Row],[Nick Names]],
IF(I80&lt;&gt;"",_xlpm.MarriedName,_xlpm.FamilyName))))</f>
        <v>David Parsons</v>
      </c>
      <c r="D80" t="b">
        <v>0</v>
      </c>
      <c r="F80" t="s">
        <v>106</v>
      </c>
      <c r="H80" t="s">
        <v>328</v>
      </c>
      <c r="J80"/>
      <c r="K80" t="str">
        <f>IF(Index_of_People[[#This Row],[SpouseID]]="","",IFERROR(INDEX(Index_of_People[Metadata Name],MATCH(Index_of_People[[#This Row],[SpouseID]],Index_of_People[NameID],0)),""))</f>
        <v/>
      </c>
      <c r="L80" s="6"/>
      <c r="M80" s="2" t="s">
        <v>490</v>
      </c>
      <c r="N80" s="2" t="s">
        <v>490</v>
      </c>
      <c r="O80" s="2" t="s">
        <v>490</v>
      </c>
      <c r="P80" t="b">
        <v>0</v>
      </c>
    </row>
    <row r="81" spans="1:16" x14ac:dyDescent="0.25">
      <c r="A81" s="6">
        <v>76</v>
      </c>
      <c r="B81" s="6" t="b">
        <v>0</v>
      </c>
      <c r="C81" t="str">
        <f>_xlfn.LET(
_xlpm.FamilyName,IF(F81="","",F81)&amp;IF(G81="",""," "&amp;G81)&amp;IF(H81="",""," "&amp;H81),
_xlpm.MarriedName,IF(F81="","",F81)&amp;IF(G81="",""," "&amp;G81)&amp;IF(I81="",""," "&amp;I81)&amp;IF(H81="",""," "&amp;"("&amp;H81)&amp;")",
TRIM(IF(Index_of_People[[#This Row],[Prefer NickName]]=TRUE,Index_of_People[[#This Row],[Nick Names]],
IF(I81&lt;&gt;"",_xlpm.MarriedName,_xlpm.FamilyName))))</f>
        <v>David Penner</v>
      </c>
      <c r="D81" t="b">
        <v>1</v>
      </c>
      <c r="F81" t="s">
        <v>106</v>
      </c>
      <c r="H81" t="s">
        <v>295</v>
      </c>
      <c r="J81"/>
      <c r="K81" t="str">
        <f>IF(Index_of_People[[#This Row],[SpouseID]]="","",IFERROR(INDEX(Index_of_People[Metadata Name],MATCH(Index_of_People[[#This Row],[SpouseID]],Index_of_People[NameID],0)),""))</f>
        <v>Carol Lemay (Penner)</v>
      </c>
      <c r="L81" s="6">
        <v>46</v>
      </c>
      <c r="M81" s="2" t="s">
        <v>490</v>
      </c>
      <c r="N81" s="2" t="s">
        <v>490</v>
      </c>
      <c r="O81" s="2" t="s">
        <v>490</v>
      </c>
      <c r="P81" t="b">
        <v>1</v>
      </c>
    </row>
    <row r="82" spans="1:16" x14ac:dyDescent="0.25">
      <c r="A82" s="6">
        <v>77</v>
      </c>
      <c r="B82" s="6" t="b">
        <v>0</v>
      </c>
      <c r="C82" t="str">
        <f>_xlfn.LET(
_xlpm.FamilyName,IF(F82="","",F82)&amp;IF(G82="",""," "&amp;G82)&amp;IF(H82="",""," "&amp;H82),
_xlpm.MarriedName,IF(F82="","",F82)&amp;IF(G82="",""," "&amp;G82)&amp;IF(I82="",""," "&amp;I82)&amp;IF(H82="",""," "&amp;"("&amp;H82)&amp;")",
TRIM(IF(Index_of_People[[#This Row],[Prefer NickName]]=TRUE,Index_of_People[[#This Row],[Nick Names]],
IF(I82&lt;&gt;"",_xlpm.MarriedName,_xlpm.FamilyName))))</f>
        <v>David Watson</v>
      </c>
      <c r="D82" t="b">
        <v>1</v>
      </c>
      <c r="F82" t="s">
        <v>106</v>
      </c>
      <c r="H82" t="s">
        <v>299</v>
      </c>
      <c r="J82"/>
      <c r="K82" t="str">
        <f>IF(Index_of_People[[#This Row],[SpouseID]]="","",IFERROR(INDEX(Index_of_People[Metadata Name],MATCH(Index_of_People[[#This Row],[SpouseID]],Index_of_People[NameID],0)),""))</f>
        <v/>
      </c>
      <c r="L82" s="6"/>
      <c r="M82" s="2" t="s">
        <v>490</v>
      </c>
      <c r="N82" s="2" t="s">
        <v>490</v>
      </c>
      <c r="O82" s="2" t="s">
        <v>490</v>
      </c>
      <c r="P82" t="b">
        <v>0</v>
      </c>
    </row>
    <row r="83" spans="1:16" x14ac:dyDescent="0.25">
      <c r="A83" s="6">
        <v>78</v>
      </c>
      <c r="B83" s="6" t="b">
        <v>0</v>
      </c>
      <c r="C83" t="str">
        <f>_xlfn.LET(
_xlpm.FamilyName,IF(F83="","",F83)&amp;IF(G83="",""," "&amp;G83)&amp;IF(H83="",""," "&amp;H83),
_xlpm.MarriedName,IF(F83="","",F83)&amp;IF(G83="",""," "&amp;G83)&amp;IF(I83="",""," "&amp;I83)&amp;IF(H83="",""," "&amp;"("&amp;H83)&amp;")",
TRIM(IF(Index_of_People[[#This Row],[Prefer NickName]]=TRUE,Index_of_People[[#This Row],[Nick Names]],
IF(I83&lt;&gt;"",_xlpm.MarriedName,_xlpm.FamilyName))))</f>
        <v>David William Glover</v>
      </c>
      <c r="D83" t="b">
        <v>1</v>
      </c>
      <c r="F83" t="s">
        <v>106</v>
      </c>
      <c r="G83" t="s">
        <v>233</v>
      </c>
      <c r="H83" t="s">
        <v>315</v>
      </c>
      <c r="J83"/>
      <c r="K83" t="str">
        <f>IF(Index_of_People[[#This Row],[SpouseID]]="","",IFERROR(INDEX(Index_of_People[Metadata Name],MATCH(Index_of_People[[#This Row],[SpouseID]],Index_of_People[NameID],0)),""))</f>
        <v/>
      </c>
      <c r="L83" s="6"/>
      <c r="M83" s="2" t="s">
        <v>490</v>
      </c>
      <c r="N83" s="2" t="s">
        <v>490</v>
      </c>
      <c r="O83" s="2" t="s">
        <v>490</v>
      </c>
      <c r="P83" t="b">
        <v>1</v>
      </c>
    </row>
    <row r="84" spans="1:16" x14ac:dyDescent="0.25">
      <c r="A84" s="6">
        <v>79</v>
      </c>
      <c r="B84" s="6" t="b">
        <v>0</v>
      </c>
      <c r="C84" t="str">
        <f>_xlfn.LET(
_xlpm.FamilyName,IF(F84="","",F84)&amp;IF(G84="",""," "&amp;G84)&amp;IF(H84="",""," "&amp;H84),
_xlpm.MarriedName,IF(F84="","",F84)&amp;IF(G84="",""," "&amp;G84)&amp;IF(I84="",""," "&amp;I84)&amp;IF(H84="",""," "&amp;"("&amp;H84)&amp;")",
TRIM(IF(Index_of_People[[#This Row],[Prefer NickName]]=TRUE,Index_of_People[[#This Row],[Nick Names]],
IF(I84&lt;&gt;"",_xlpm.MarriedName,_xlpm.FamilyName))))</f>
        <v>Debbie Best</v>
      </c>
      <c r="D84" t="b">
        <v>1</v>
      </c>
      <c r="F84" t="s">
        <v>107</v>
      </c>
      <c r="G84" t="s">
        <v>490</v>
      </c>
      <c r="H84" t="s">
        <v>329</v>
      </c>
      <c r="I84" t="s">
        <v>490</v>
      </c>
      <c r="J84" t="s">
        <v>490</v>
      </c>
      <c r="K84" t="str">
        <f>IF(Index_of_People[[#This Row],[SpouseID]]="","",IFERROR(INDEX(Index_of_People[Metadata Name],MATCH(Index_of_People[[#This Row],[SpouseID]],Index_of_People[NameID],0)),""))</f>
        <v/>
      </c>
      <c r="L84" s="6"/>
      <c r="M84" s="2" t="s">
        <v>490</v>
      </c>
      <c r="N84" s="2" t="s">
        <v>490</v>
      </c>
      <c r="O84" s="2" t="s">
        <v>490</v>
      </c>
      <c r="P84" t="b">
        <v>0</v>
      </c>
    </row>
    <row r="85" spans="1:16" x14ac:dyDescent="0.25">
      <c r="A85" s="6">
        <v>80</v>
      </c>
      <c r="B85" s="6" t="b">
        <v>0</v>
      </c>
      <c r="C85" t="str">
        <f>_xlfn.LET(
_xlpm.FamilyName,IF(F85="","",F85)&amp;IF(G85="",""," "&amp;G85)&amp;IF(H85="",""," "&amp;H85),
_xlpm.MarriedName,IF(F85="","",F85)&amp;IF(G85="",""," "&amp;G85)&amp;IF(I85="",""," "&amp;I85)&amp;IF(H85="",""," "&amp;"("&amp;H85)&amp;")",
TRIM(IF(Index_of_People[[#This Row],[Prefer NickName]]=TRUE,Index_of_People[[#This Row],[Nick Names]],
IF(I85&lt;&gt;"",_xlpm.MarriedName,_xlpm.FamilyName))))</f>
        <v>Debbie Silvey</v>
      </c>
      <c r="D85" t="b">
        <v>1</v>
      </c>
      <c r="F85" t="s">
        <v>107</v>
      </c>
      <c r="H85" t="s">
        <v>330</v>
      </c>
      <c r="J85"/>
      <c r="K85" t="str">
        <f>IF(Index_of_People[[#This Row],[SpouseID]]="","",IFERROR(INDEX(Index_of_People[Metadata Name],MATCH(Index_of_People[[#This Row],[SpouseID]],Index_of_People[NameID],0)),""))</f>
        <v/>
      </c>
      <c r="L85" s="6"/>
      <c r="M85" s="2" t="s">
        <v>490</v>
      </c>
      <c r="N85" s="2" t="s">
        <v>490</v>
      </c>
      <c r="O85" s="2" t="s">
        <v>490</v>
      </c>
      <c r="P85" t="b">
        <v>0</v>
      </c>
    </row>
    <row r="86" spans="1:16" x14ac:dyDescent="0.25">
      <c r="A86" s="6">
        <v>81</v>
      </c>
      <c r="B86" s="6" t="b">
        <v>0</v>
      </c>
      <c r="C86" t="str">
        <f>_xlfn.LET(
_xlpm.FamilyName,IF(F86="","",F86)&amp;IF(G86="",""," "&amp;G86)&amp;IF(H86="",""," "&amp;H86),
_xlpm.MarriedName,IF(F86="","",F86)&amp;IF(G86="",""," "&amp;G86)&amp;IF(I86="",""," "&amp;I86)&amp;IF(H86="",""," "&amp;"("&amp;H86)&amp;")",
TRIM(IF(Index_of_People[[#This Row],[Prefer NickName]]=TRUE,Index_of_People[[#This Row],[Nick Names]],
IF(I86&lt;&gt;"",_xlpm.MarriedName,_xlpm.FamilyName))))</f>
        <v>Debora Bowman</v>
      </c>
      <c r="D86" t="b">
        <v>1</v>
      </c>
      <c r="F86" t="s">
        <v>108</v>
      </c>
      <c r="G86" t="s">
        <v>490</v>
      </c>
      <c r="H86" t="s">
        <v>331</v>
      </c>
      <c r="I86" t="s">
        <v>490</v>
      </c>
      <c r="J86" t="s">
        <v>490</v>
      </c>
      <c r="K86" t="str">
        <f>IF(Index_of_People[[#This Row],[SpouseID]]="","",IFERROR(INDEX(Index_of_People[Metadata Name],MATCH(Index_of_People[[#This Row],[SpouseID]],Index_of_People[NameID],0)),""))</f>
        <v/>
      </c>
      <c r="L86" s="6"/>
      <c r="M86" s="2" t="s">
        <v>490</v>
      </c>
      <c r="N86" s="2" t="s">
        <v>490</v>
      </c>
      <c r="O86" s="2" t="s">
        <v>490</v>
      </c>
      <c r="P86" t="b">
        <v>0</v>
      </c>
    </row>
    <row r="87" spans="1:16" x14ac:dyDescent="0.25">
      <c r="A87" s="6">
        <v>82</v>
      </c>
      <c r="B87" s="6" t="b">
        <v>0</v>
      </c>
      <c r="C87" t="str">
        <f>_xlfn.LET(
_xlpm.FamilyName,IF(F87="","",F87)&amp;IF(G87="",""," "&amp;G87)&amp;IF(H87="",""," "&amp;H87),
_xlpm.MarriedName,IF(F87="","",F87)&amp;IF(G87="",""," "&amp;G87)&amp;IF(I87="",""," "&amp;I87)&amp;IF(H87="",""," "&amp;"("&amp;H87)&amp;")",
TRIM(IF(Index_of_People[[#This Row],[Prefer NickName]]=TRUE,Index_of_People[[#This Row],[Nick Names]],
IF(I87&lt;&gt;"",_xlpm.MarriedName,_xlpm.FamilyName))))</f>
        <v>Deborah Munro</v>
      </c>
      <c r="D87" t="b">
        <v>0</v>
      </c>
      <c r="F87" t="s">
        <v>109</v>
      </c>
      <c r="H87" t="s">
        <v>7</v>
      </c>
      <c r="J87"/>
      <c r="K87" t="str">
        <f>IF(Index_of_People[[#This Row],[SpouseID]]="","",IFERROR(INDEX(Index_of_People[Metadata Name],MATCH(Index_of_People[[#This Row],[SpouseID]],Index_of_People[NameID],0)),""))</f>
        <v/>
      </c>
      <c r="L87" s="6"/>
      <c r="M87" s="2" t="s">
        <v>490</v>
      </c>
      <c r="N87" s="2" t="s">
        <v>490</v>
      </c>
      <c r="O87" s="2" t="s">
        <v>490</v>
      </c>
      <c r="P87" t="b">
        <v>0</v>
      </c>
    </row>
    <row r="88" spans="1:16" x14ac:dyDescent="0.25">
      <c r="A88" s="6">
        <v>83</v>
      </c>
      <c r="B88" s="6" t="b">
        <v>0</v>
      </c>
      <c r="C88" t="str">
        <f>_xlfn.LET(
_xlpm.FamilyName,IF(F88="","",F88)&amp;IF(G88="",""," "&amp;G88)&amp;IF(H88="",""," "&amp;H88),
_xlpm.MarriedName,IF(F88="","",F88)&amp;IF(G88="",""," "&amp;G88)&amp;IF(I88="",""," "&amp;I88)&amp;IF(H88="",""," "&amp;"("&amp;H88)&amp;")",
TRIM(IF(Index_of_People[[#This Row],[Prefer NickName]]=TRUE,Index_of_People[[#This Row],[Nick Names]],
IF(I88&lt;&gt;"",_xlpm.MarriedName,_xlpm.FamilyName))))</f>
        <v>Denise Tory</v>
      </c>
      <c r="D88" t="b">
        <v>1</v>
      </c>
      <c r="F88" t="s">
        <v>110</v>
      </c>
      <c r="H88" t="s">
        <v>332</v>
      </c>
      <c r="J88"/>
      <c r="K88" t="str">
        <f>IF(Index_of_People[[#This Row],[SpouseID]]="","",IFERROR(INDEX(Index_of_People[Metadata Name],MATCH(Index_of_People[[#This Row],[SpouseID]],Index_of_People[NameID],0)),""))</f>
        <v/>
      </c>
      <c r="L88" s="6"/>
      <c r="M88" s="2" t="s">
        <v>490</v>
      </c>
      <c r="N88" s="2" t="s">
        <v>490</v>
      </c>
      <c r="O88" s="2" t="s">
        <v>490</v>
      </c>
      <c r="P88" t="b">
        <v>0</v>
      </c>
    </row>
    <row r="89" spans="1:16" x14ac:dyDescent="0.25">
      <c r="A89" s="6">
        <v>84</v>
      </c>
      <c r="B89" s="6" t="b">
        <v>0</v>
      </c>
      <c r="C89" t="str">
        <f>_xlfn.LET(
_xlpm.FamilyName,IF(F89="","",F89)&amp;IF(G89="",""," "&amp;G89)&amp;IF(H89="",""," "&amp;H89),
_xlpm.MarriedName,IF(F89="","",F89)&amp;IF(G89="",""," "&amp;G89)&amp;IF(I89="",""," "&amp;I89)&amp;IF(H89="",""," "&amp;"("&amp;H89)&amp;")",
TRIM(IF(Index_of_People[[#This Row],[Prefer NickName]]=TRUE,Index_of_People[[#This Row],[Nick Names]],
IF(I89&lt;&gt;"",_xlpm.MarriedName,_xlpm.FamilyName))))</f>
        <v>Dennis Lee Barker</v>
      </c>
      <c r="D89" t="b">
        <v>1</v>
      </c>
      <c r="F89" t="s">
        <v>249</v>
      </c>
      <c r="G89" t="s">
        <v>163</v>
      </c>
      <c r="H89" t="s">
        <v>312</v>
      </c>
      <c r="J89"/>
      <c r="K89" t="str">
        <f>IF(Index_of_People[[#This Row],[SpouseID]]="","",IFERROR(INDEX(Index_of_People[Metadata Name],MATCH(Index_of_People[[#This Row],[SpouseID]],Index_of_People[NameID],0)),""))</f>
        <v/>
      </c>
      <c r="L89" s="6"/>
      <c r="P89" t="b">
        <v>1</v>
      </c>
    </row>
    <row r="90" spans="1:16" x14ac:dyDescent="0.25">
      <c r="A90" s="6">
        <v>85</v>
      </c>
      <c r="B90" s="6" t="b">
        <v>0</v>
      </c>
      <c r="C90" t="str">
        <f>_xlfn.LET(
_xlpm.FamilyName,IF(F90="","",F90)&amp;IF(G90="",""," "&amp;G90)&amp;IF(H90="",""," "&amp;H90),
_xlpm.MarriedName,IF(F90="","",F90)&amp;IF(G90="",""," "&amp;G90)&amp;IF(I90="",""," "&amp;I90)&amp;IF(H90="",""," "&amp;"("&amp;H90)&amp;")",
TRIM(IF(Index_of_People[[#This Row],[Prefer NickName]]=TRUE,Index_of_People[[#This Row],[Nick Names]],
IF(I90&lt;&gt;"",_xlpm.MarriedName,_xlpm.FamilyName))))</f>
        <v>Diane Mae Penner (Barker)</v>
      </c>
      <c r="D90" t="b">
        <v>1</v>
      </c>
      <c r="F90" t="s">
        <v>111</v>
      </c>
      <c r="G90" t="s">
        <v>333</v>
      </c>
      <c r="H90" t="s">
        <v>312</v>
      </c>
      <c r="I90" t="s">
        <v>295</v>
      </c>
      <c r="J90"/>
      <c r="K90" t="str">
        <f>IF(Index_of_People[[#This Row],[SpouseID]]="","",IFERROR(INDEX(Index_of_People[Metadata Name],MATCH(Index_of_People[[#This Row],[SpouseID]],Index_of_People[NameID],0)),""))</f>
        <v>Henry Peter Penner</v>
      </c>
      <c r="L90" s="6">
        <v>135</v>
      </c>
      <c r="M90" s="2">
        <v>15301</v>
      </c>
      <c r="N90" s="2">
        <v>24583</v>
      </c>
      <c r="O90" s="2">
        <v>36309</v>
      </c>
      <c r="P90" t="b">
        <v>1</v>
      </c>
    </row>
    <row r="91" spans="1:16" x14ac:dyDescent="0.25">
      <c r="A91" s="6">
        <v>86</v>
      </c>
      <c r="B91" s="6" t="b">
        <v>0</v>
      </c>
      <c r="C91" t="str">
        <f>_xlfn.LET(
_xlpm.FamilyName,IF(F91="","",F91)&amp;IF(G91="",""," "&amp;G91)&amp;IF(H91="",""," "&amp;H91),
_xlpm.MarriedName,IF(F91="","",F91)&amp;IF(G91="",""," "&amp;G91)&amp;IF(I91="",""," "&amp;I91)&amp;IF(H91="",""," "&amp;"("&amp;H91)&amp;")",
TRIM(IF(Index_of_People[[#This Row],[Prefer NickName]]=TRUE,Index_of_People[[#This Row],[Nick Names]],
IF(I91&lt;&gt;"",_xlpm.MarriedName,_xlpm.FamilyName))))</f>
        <v>Diane Propster</v>
      </c>
      <c r="D91" t="b">
        <v>0</v>
      </c>
      <c r="F91" t="s">
        <v>111</v>
      </c>
      <c r="H91" t="s">
        <v>334</v>
      </c>
      <c r="J91"/>
      <c r="K91" t="str">
        <f>IF(Index_of_People[[#This Row],[SpouseID]]="","",IFERROR(INDEX(Index_of_People[Metadata Name],MATCH(Index_of_People[[#This Row],[SpouseID]],Index_of_People[NameID],0)),""))</f>
        <v/>
      </c>
      <c r="L91" s="6"/>
      <c r="M91" s="2" t="s">
        <v>490</v>
      </c>
      <c r="N91" s="2" t="s">
        <v>490</v>
      </c>
      <c r="O91" s="2" t="s">
        <v>490</v>
      </c>
      <c r="P91" t="b">
        <v>0</v>
      </c>
    </row>
    <row r="92" spans="1:16" x14ac:dyDescent="0.25">
      <c r="A92" s="6">
        <v>87</v>
      </c>
      <c r="B92" s="6" t="b">
        <v>0</v>
      </c>
      <c r="C92" t="str">
        <f>_xlfn.LET(
_xlpm.FamilyName,IF(F92="","",F92)&amp;IF(G92="",""," "&amp;G92)&amp;IF(H92="",""," "&amp;H92),
_xlpm.MarriedName,IF(F92="","",F92)&amp;IF(G92="",""," "&amp;G92)&amp;IF(I92="",""," "&amp;I92)&amp;IF(H92="",""," "&amp;"("&amp;H92)&amp;")",
TRIM(IF(Index_of_People[[#This Row],[Prefer NickName]]=TRUE,Index_of_People[[#This Row],[Nick Names]],
IF(I92&lt;&gt;"",_xlpm.MarriedName,_xlpm.FamilyName))))</f>
        <v>Dirk Nyland</v>
      </c>
      <c r="D92" t="b">
        <v>1</v>
      </c>
      <c r="F92" t="s">
        <v>112</v>
      </c>
      <c r="H92" t="s">
        <v>335</v>
      </c>
      <c r="J92"/>
      <c r="K92" t="str">
        <f>IF(Index_of_People[[#This Row],[SpouseID]]="","",IFERROR(INDEX(Index_of_People[Metadata Name],MATCH(Index_of_People[[#This Row],[SpouseID]],Index_of_People[NameID],0)),""))</f>
        <v/>
      </c>
      <c r="L92" s="6"/>
      <c r="M92" s="2" t="s">
        <v>490</v>
      </c>
      <c r="N92" s="2" t="s">
        <v>490</v>
      </c>
      <c r="O92" s="2" t="s">
        <v>490</v>
      </c>
      <c r="P92" t="b">
        <v>0</v>
      </c>
    </row>
    <row r="93" spans="1:16" x14ac:dyDescent="0.25">
      <c r="A93" s="6">
        <v>88</v>
      </c>
      <c r="B93" s="6" t="b">
        <v>0</v>
      </c>
      <c r="C93" t="str">
        <f>_xlfn.LET(
_xlpm.FamilyName,IF(F93="","",F93)&amp;IF(G93="",""," "&amp;G93)&amp;IF(H93="",""," "&amp;H93),
_xlpm.MarriedName,IF(F93="","",F93)&amp;IF(G93="",""," "&amp;G93)&amp;IF(I93="",""," "&amp;I93)&amp;IF(H93="",""," "&amp;"("&amp;H93)&amp;")",
TRIM(IF(Index_of_People[[#This Row],[Prefer NickName]]=TRUE,Index_of_People[[#This Row],[Nick Names]],
IF(I93&lt;&gt;"",_xlpm.MarriedName,_xlpm.FamilyName))))</f>
        <v>Dolores McKinney</v>
      </c>
      <c r="D93" t="b">
        <v>1</v>
      </c>
      <c r="F93" t="s">
        <v>113</v>
      </c>
      <c r="H93" t="s">
        <v>336</v>
      </c>
      <c r="J93"/>
      <c r="K93" t="str">
        <f>IF(Index_of_People[[#This Row],[SpouseID]]="","",IFERROR(INDEX(Index_of_People[Metadata Name],MATCH(Index_of_People[[#This Row],[SpouseID]],Index_of_People[NameID],0)),""))</f>
        <v/>
      </c>
      <c r="L93" s="6"/>
      <c r="M93" s="2" t="s">
        <v>490</v>
      </c>
      <c r="N93" s="2" t="s">
        <v>490</v>
      </c>
      <c r="O93" s="2" t="s">
        <v>490</v>
      </c>
      <c r="P93" t="b">
        <v>0</v>
      </c>
    </row>
    <row r="94" spans="1:16" x14ac:dyDescent="0.25">
      <c r="A94" s="6">
        <v>89</v>
      </c>
      <c r="B94" s="6" t="b">
        <v>0</v>
      </c>
      <c r="C94" t="str">
        <f>_xlfn.LET(
_xlpm.FamilyName,IF(F94="","",F94)&amp;IF(G94="",""," "&amp;G94)&amp;IF(H94="",""," "&amp;H94),
_xlpm.MarriedName,IF(F94="","",F94)&amp;IF(G94="",""," "&amp;G94)&amp;IF(I94="",""," "&amp;I94)&amp;IF(H94="",""," "&amp;"("&amp;H94)&amp;")",
TRIM(IF(Index_of_People[[#This Row],[Prefer NickName]]=TRUE,Index_of_People[[#This Row],[Nick Names]],
IF(I94&lt;&gt;"",_xlpm.MarriedName,_xlpm.FamilyName))))</f>
        <v>Don Loewen</v>
      </c>
      <c r="D94" t="b">
        <v>1</v>
      </c>
      <c r="F94" t="s">
        <v>114</v>
      </c>
      <c r="G94" t="s">
        <v>490</v>
      </c>
      <c r="H94" t="s">
        <v>337</v>
      </c>
      <c r="I94" t="s">
        <v>490</v>
      </c>
      <c r="J94" t="s">
        <v>490</v>
      </c>
      <c r="K94" t="str">
        <f>IF(Index_of_People[[#This Row],[SpouseID]]="","",IFERROR(INDEX(Index_of_People[Metadata Name],MATCH(Index_of_People[[#This Row],[SpouseID]],Index_of_People[NameID],0)),""))</f>
        <v/>
      </c>
      <c r="L94" s="6"/>
      <c r="M94" s="2" t="s">
        <v>490</v>
      </c>
      <c r="N94" s="2" t="s">
        <v>490</v>
      </c>
      <c r="O94" s="2" t="s">
        <v>490</v>
      </c>
      <c r="P94" t="b">
        <v>0</v>
      </c>
    </row>
    <row r="95" spans="1:16" x14ac:dyDescent="0.25">
      <c r="A95" s="6">
        <v>90</v>
      </c>
      <c r="B95" s="6" t="b">
        <v>0</v>
      </c>
      <c r="C95" t="str">
        <f>_xlfn.LET(
_xlpm.FamilyName,IF(F95="","",F95)&amp;IF(G95="",""," "&amp;G95)&amp;IF(H95="",""," "&amp;H95),
_xlpm.MarriedName,IF(F95="","",F95)&amp;IF(G95="",""," "&amp;G95)&amp;IF(I95="",""," "&amp;I95)&amp;IF(H95="",""," "&amp;"("&amp;H95)&amp;")",
TRIM(IF(Index_of_People[[#This Row],[Prefer NickName]]=TRUE,Index_of_People[[#This Row],[Nick Names]],
IF(I95&lt;&gt;"",_xlpm.MarriedName,_xlpm.FamilyName))))</f>
        <v>Donald John Penner</v>
      </c>
      <c r="D95" t="b">
        <v>1</v>
      </c>
      <c r="F95" t="s">
        <v>9</v>
      </c>
      <c r="G95" t="s">
        <v>148</v>
      </c>
      <c r="H95" t="s">
        <v>295</v>
      </c>
      <c r="J95"/>
      <c r="K95" t="str">
        <f>IF(Index_of_People[[#This Row],[SpouseID]]="","",IFERROR(INDEX(Index_of_People[Metadata Name],MATCH(Index_of_People[[#This Row],[SpouseID]],Index_of_People[NameID],0)),""))</f>
        <v>Cathie Penner (Mitchell)</v>
      </c>
      <c r="L95" s="6">
        <v>52</v>
      </c>
      <c r="M95" s="2">
        <v>22870</v>
      </c>
      <c r="N95" s="2">
        <v>31549</v>
      </c>
      <c r="O95" s="2">
        <v>43097</v>
      </c>
      <c r="P95" t="b">
        <v>1</v>
      </c>
    </row>
    <row r="96" spans="1:16" x14ac:dyDescent="0.25">
      <c r="A96" s="6">
        <v>91</v>
      </c>
      <c r="B96" s="6" t="b">
        <v>0</v>
      </c>
      <c r="C96" t="str">
        <f>_xlfn.LET(
_xlpm.FamilyName,IF(F96="","",F96)&amp;IF(G96="",""," "&amp;G96)&amp;IF(H96="",""," "&amp;H96),
_xlpm.MarriedName,IF(F96="","",F96)&amp;IF(G96="",""," "&amp;G96)&amp;IF(I96="",""," "&amp;I96)&amp;IF(H96="",""," "&amp;"("&amp;H96)&amp;")",
TRIM(IF(Index_of_People[[#This Row],[Prefer NickName]]=TRUE,Index_of_People[[#This Row],[Nick Names]],
IF(I96&lt;&gt;"",_xlpm.MarriedName,_xlpm.FamilyName))))</f>
        <v>Doug Mark Wardle</v>
      </c>
      <c r="D96" t="b">
        <v>1</v>
      </c>
      <c r="F96" t="s">
        <v>1330</v>
      </c>
      <c r="G96" t="s">
        <v>176</v>
      </c>
      <c r="H96" t="s">
        <v>305</v>
      </c>
      <c r="J96"/>
      <c r="K96" t="str">
        <f>IF(Index_of_People[[#This Row],[SpouseID]]="","",IFERROR(INDEX(Index_of_People[Metadata Name],MATCH(Index_of_People[[#This Row],[SpouseID]],Index_of_People[NameID],0)),""))</f>
        <v>Sharon Wardle (Hatherell)</v>
      </c>
      <c r="L96" s="6">
        <v>311</v>
      </c>
      <c r="M96" s="2">
        <v>21867</v>
      </c>
      <c r="N96" s="2">
        <v>33565</v>
      </c>
      <c r="P96" t="b">
        <v>1</v>
      </c>
    </row>
    <row r="97" spans="1:16" x14ac:dyDescent="0.25">
      <c r="A97" s="6">
        <v>92</v>
      </c>
      <c r="B97" s="6" t="b">
        <v>0</v>
      </c>
      <c r="C97" t="str">
        <f>_xlfn.LET(
_xlpm.FamilyName,IF(F97="","",F97)&amp;IF(G97="",""," "&amp;G97)&amp;IF(H97="",""," "&amp;H97),
_xlpm.MarriedName,IF(F97="","",F97)&amp;IF(G97="",""," "&amp;G97)&amp;IF(I97="",""," "&amp;I97)&amp;IF(H97="",""," "&amp;"("&amp;H97)&amp;")",
TRIM(IF(Index_of_People[[#This Row],[Prefer NickName]]=TRUE,Index_of_People[[#This Row],[Nick Names]],
IF(I97&lt;&gt;"",_xlpm.MarriedName,_xlpm.FamilyName))))</f>
        <v>Douglas Wardle</v>
      </c>
      <c r="D97" t="b">
        <v>0</v>
      </c>
      <c r="F97" t="s">
        <v>487</v>
      </c>
      <c r="G97" t="s">
        <v>490</v>
      </c>
      <c r="H97" t="s">
        <v>305</v>
      </c>
      <c r="I97" t="s">
        <v>490</v>
      </c>
      <c r="J97" t="s">
        <v>490</v>
      </c>
      <c r="K97" t="str">
        <f>IF(Index_of_People[[#This Row],[SpouseID]]="","",IFERROR(INDEX(Index_of_People[Metadata Name],MATCH(Index_of_People[[#This Row],[SpouseID]],Index_of_People[NameID],0)),""))</f>
        <v/>
      </c>
      <c r="L97" s="6"/>
      <c r="M97" s="2" t="s">
        <v>490</v>
      </c>
      <c r="N97" s="2" t="s">
        <v>490</v>
      </c>
      <c r="O97" s="2" t="s">
        <v>490</v>
      </c>
      <c r="P97" t="b">
        <v>0</v>
      </c>
    </row>
    <row r="98" spans="1:16" x14ac:dyDescent="0.25">
      <c r="A98" s="6">
        <v>93</v>
      </c>
      <c r="B98" s="6" t="b">
        <v>0</v>
      </c>
      <c r="C98" t="str">
        <f>_xlfn.LET(
_xlpm.FamilyName,IF(F98="","",F98)&amp;IF(G98="",""," "&amp;G98)&amp;IF(H98="",""," "&amp;H98),
_xlpm.MarriedName,IF(F98="","",F98)&amp;IF(G98="",""," "&amp;G98)&amp;IF(I98="",""," "&amp;I98)&amp;IF(H98="",""," "&amp;"("&amp;H98)&amp;")",
TRIM(IF(Index_of_People[[#This Row],[Prefer NickName]]=TRUE,Index_of_People[[#This Row],[Nick Names]],
IF(I98&lt;&gt;"",_xlpm.MarriedName,_xlpm.FamilyName))))</f>
        <v>Dustin Snyder</v>
      </c>
      <c r="D98" t="b">
        <v>1</v>
      </c>
      <c r="F98" t="s">
        <v>115</v>
      </c>
      <c r="H98" t="s">
        <v>15</v>
      </c>
      <c r="J98"/>
      <c r="K98" t="str">
        <f>IF(Index_of_People[[#This Row],[SpouseID]]="","",IFERROR(INDEX(Index_of_People[Metadata Name],MATCH(Index_of_People[[#This Row],[SpouseID]],Index_of_People[NameID],0)),""))</f>
        <v/>
      </c>
      <c r="L98" s="6"/>
      <c r="M98" s="2" t="s">
        <v>490</v>
      </c>
      <c r="N98" s="2" t="s">
        <v>490</v>
      </c>
      <c r="O98" s="2" t="s">
        <v>490</v>
      </c>
      <c r="P98" t="b">
        <v>0</v>
      </c>
    </row>
    <row r="99" spans="1:16" x14ac:dyDescent="0.25">
      <c r="A99" s="6">
        <v>94</v>
      </c>
      <c r="B99" s="6" t="b">
        <v>0</v>
      </c>
      <c r="C99" t="str">
        <f>_xlfn.LET(
_xlpm.FamilyName,IF(F99="","",F99)&amp;IF(G99="",""," "&amp;G99)&amp;IF(H99="",""," "&amp;H99),
_xlpm.MarriedName,IF(F99="","",F99)&amp;IF(G99="",""," "&amp;G99)&amp;IF(I99="",""," "&amp;I99)&amp;IF(H99="",""," "&amp;"("&amp;H99)&amp;")",
TRIM(IF(Index_of_People[[#This Row],[Prefer NickName]]=TRUE,Index_of_People[[#This Row],[Nick Names]],
IF(I99&lt;&gt;"",_xlpm.MarriedName,_xlpm.FamilyName))))</f>
        <v>Ed Miska</v>
      </c>
      <c r="D99" t="b">
        <v>1</v>
      </c>
      <c r="F99" t="s">
        <v>116</v>
      </c>
      <c r="H99" t="s">
        <v>338</v>
      </c>
      <c r="J99"/>
      <c r="K99" t="str">
        <f>IF(Index_of_People[[#This Row],[SpouseID]]="","",IFERROR(INDEX(Index_of_People[Metadata Name],MATCH(Index_of_People[[#This Row],[SpouseID]],Index_of_People[NameID],0)),""))</f>
        <v/>
      </c>
      <c r="L99" s="6"/>
      <c r="M99" s="2" t="s">
        <v>490</v>
      </c>
      <c r="N99" s="2" t="s">
        <v>490</v>
      </c>
      <c r="O99" s="2" t="s">
        <v>490</v>
      </c>
      <c r="P99" t="b">
        <v>0</v>
      </c>
    </row>
    <row r="100" spans="1:16" x14ac:dyDescent="0.25">
      <c r="A100" s="6">
        <v>95</v>
      </c>
      <c r="B100" s="6" t="b">
        <v>0</v>
      </c>
      <c r="C100" t="str">
        <f>_xlfn.LET(
_xlpm.FamilyName,IF(F100="","",F100)&amp;IF(G100="",""," "&amp;G100)&amp;IF(H100="",""," "&amp;H100),
_xlpm.MarriedName,IF(F100="","",F100)&amp;IF(G100="",""," "&amp;G100)&amp;IF(I100="",""," "&amp;I100)&amp;IF(H100="",""," "&amp;"("&amp;H100)&amp;")",
TRIM(IF(Index_of_People[[#This Row],[Prefer NickName]]=TRUE,Index_of_People[[#This Row],[Nick Names]],
IF(I100&lt;&gt;"",_xlpm.MarriedName,_xlpm.FamilyName))))</f>
        <v>Edith Florence Barker (Smith)</v>
      </c>
      <c r="D100" t="b">
        <v>1</v>
      </c>
      <c r="F100" t="s">
        <v>250</v>
      </c>
      <c r="G100" t="s">
        <v>339</v>
      </c>
      <c r="H100" t="s">
        <v>17</v>
      </c>
      <c r="I100" t="s">
        <v>312</v>
      </c>
      <c r="J100"/>
      <c r="K100" t="str">
        <f>IF(Index_of_People[[#This Row],[SpouseID]]="","",IFERROR(INDEX(Index_of_People[Metadata Name],MATCH(Index_of_People[[#This Row],[SpouseID]],Index_of_People[NameID],0)),""))</f>
        <v/>
      </c>
      <c r="L100" s="6"/>
      <c r="M100" s="2" t="s">
        <v>490</v>
      </c>
      <c r="N100" s="2" t="s">
        <v>490</v>
      </c>
      <c r="O100" s="2" t="s">
        <v>490</v>
      </c>
      <c r="P100" t="b">
        <v>1</v>
      </c>
    </row>
    <row r="101" spans="1:16" x14ac:dyDescent="0.25">
      <c r="A101" s="6">
        <v>96</v>
      </c>
      <c r="B101" s="6" t="b">
        <v>1</v>
      </c>
      <c r="C101" t="str">
        <f>_xlfn.LET(
_xlpm.FamilyName,IF(F101="","",F101)&amp;IF(G101="",""," "&amp;G101)&amp;IF(H101="",""," "&amp;H101),
_xlpm.MarriedName,IF(F101="","",F101)&amp;IF(G101="",""," "&amp;G101)&amp;IF(I101="",""," "&amp;I101)&amp;IF(H101="",""," "&amp;"("&amp;H101)&amp;")",
TRIM(IF(Index_of_People[[#This Row],[Prefer NickName]]=TRUE,Index_of_People[[#This Row],[Nick Names]],
IF(I101&lt;&gt;"",_xlpm.MarriedName,_xlpm.FamilyName))))</f>
        <v>Eileen Morford [Aunt Dot]</v>
      </c>
      <c r="D101" t="b">
        <v>0</v>
      </c>
      <c r="F101" t="s">
        <v>251</v>
      </c>
      <c r="H101" t="s">
        <v>340</v>
      </c>
      <c r="J101" t="s">
        <v>1551</v>
      </c>
      <c r="K101" t="str">
        <f>IF(Index_of_People[[#This Row],[SpouseID]]="","",IFERROR(INDEX(Index_of_People[Metadata Name],MATCH(Index_of_People[[#This Row],[SpouseID]],Index_of_People[NameID],0)),""))</f>
        <v/>
      </c>
      <c r="L101" s="6"/>
      <c r="M101" s="2" t="s">
        <v>490</v>
      </c>
      <c r="N101" s="2" t="s">
        <v>490</v>
      </c>
      <c r="O101" s="2" t="s">
        <v>490</v>
      </c>
      <c r="P101" t="b">
        <v>1</v>
      </c>
    </row>
    <row r="102" spans="1:16" x14ac:dyDescent="0.25">
      <c r="A102" s="6">
        <v>97</v>
      </c>
      <c r="B102" s="6" t="b">
        <v>0</v>
      </c>
      <c r="C102" t="str">
        <f>_xlfn.LET(
_xlpm.FamilyName,IF(F102="","",F102)&amp;IF(G102="",""," "&amp;G102)&amp;IF(H102="",""," "&amp;H102),
_xlpm.MarriedName,IF(F102="","",F102)&amp;IF(G102="",""," "&amp;G102)&amp;IF(I102="",""," "&amp;I102)&amp;IF(H102="",""," "&amp;"("&amp;H102)&amp;")",
TRIM(IF(Index_of_People[[#This Row],[Prefer NickName]]=TRUE,Index_of_People[[#This Row],[Nick Names]],
IF(I102&lt;&gt;"",_xlpm.MarriedName,_xlpm.FamilyName))))</f>
        <v>Eleanor Mulloy</v>
      </c>
      <c r="D102" t="b">
        <v>1</v>
      </c>
      <c r="F102" t="s">
        <v>117</v>
      </c>
      <c r="H102" t="s">
        <v>341</v>
      </c>
      <c r="J102"/>
      <c r="K102" t="str">
        <f>IF(Index_of_People[[#This Row],[SpouseID]]="","",IFERROR(INDEX(Index_of_People[Metadata Name],MATCH(Index_of_People[[#This Row],[SpouseID]],Index_of_People[NameID],0)),""))</f>
        <v/>
      </c>
      <c r="L102" s="6"/>
      <c r="M102" s="2" t="s">
        <v>490</v>
      </c>
      <c r="N102" s="2" t="s">
        <v>490</v>
      </c>
      <c r="O102" s="2" t="s">
        <v>490</v>
      </c>
      <c r="P102" t="b">
        <v>0</v>
      </c>
    </row>
    <row r="103" spans="1:16" x14ac:dyDescent="0.25">
      <c r="A103" s="6">
        <v>98</v>
      </c>
      <c r="B103" s="6" t="b">
        <v>0</v>
      </c>
      <c r="C103" t="str">
        <f>_xlfn.LET(
_xlpm.FamilyName,IF(F103="","",F103)&amp;IF(G103="",""," "&amp;G103)&amp;IF(H103="",""," "&amp;H103),
_xlpm.MarriedName,IF(F103="","",F103)&amp;IF(G103="",""," "&amp;G103)&amp;IF(I103="",""," "&amp;I103)&amp;IF(H103="",""," "&amp;"("&amp;H103)&amp;")",
TRIM(IF(Index_of_People[[#This Row],[Prefer NickName]]=TRUE,Index_of_People[[#This Row],[Nick Names]],
IF(I103&lt;&gt;"",_xlpm.MarriedName,_xlpm.FamilyName))))</f>
        <v>Eleanor Schumaker</v>
      </c>
      <c r="D103" t="b">
        <v>1</v>
      </c>
      <c r="F103" t="s">
        <v>117</v>
      </c>
      <c r="H103" t="s">
        <v>342</v>
      </c>
      <c r="J103"/>
      <c r="K103" t="str">
        <f>IF(Index_of_People[[#This Row],[SpouseID]]="","",IFERROR(INDEX(Index_of_People[Metadata Name],MATCH(Index_of_People[[#This Row],[SpouseID]],Index_of_People[NameID],0)),""))</f>
        <v/>
      </c>
      <c r="L103" s="6"/>
      <c r="M103" s="2" t="s">
        <v>490</v>
      </c>
      <c r="N103" s="2" t="s">
        <v>490</v>
      </c>
      <c r="O103" s="2" t="s">
        <v>490</v>
      </c>
      <c r="P103" t="b">
        <v>0</v>
      </c>
    </row>
    <row r="104" spans="1:16" x14ac:dyDescent="0.25">
      <c r="A104" s="6">
        <v>99</v>
      </c>
      <c r="B104" s="6" t="b">
        <v>0</v>
      </c>
      <c r="C104" t="str">
        <f>_xlfn.LET(
_xlpm.FamilyName,IF(F104="","",F104)&amp;IF(G104="",""," "&amp;G104)&amp;IF(H104="",""," "&amp;H104),
_xlpm.MarriedName,IF(F104="","",F104)&amp;IF(G104="",""," "&amp;G104)&amp;IF(I104="",""," "&amp;I104)&amp;IF(H104="",""," "&amp;"("&amp;H104)&amp;")",
TRIM(IF(Index_of_People[[#This Row],[Prefer NickName]]=TRUE,Index_of_People[[#This Row],[Nick Names]],
IF(I104&lt;&gt;"",_xlpm.MarriedName,_xlpm.FamilyName))))</f>
        <v>Elena</v>
      </c>
      <c r="D104" t="b">
        <v>0</v>
      </c>
      <c r="F104" t="s">
        <v>118</v>
      </c>
      <c r="J104" t="s">
        <v>474</v>
      </c>
      <c r="K104" t="str">
        <f>IF(Index_of_People[[#This Row],[SpouseID]]="","",IFERROR(INDEX(Index_of_People[Metadata Name],MATCH(Index_of_People[[#This Row],[SpouseID]],Index_of_People[NameID],0)),""))</f>
        <v/>
      </c>
      <c r="L104" s="6"/>
      <c r="M104" s="2" t="s">
        <v>490</v>
      </c>
      <c r="N104" s="2" t="s">
        <v>490</v>
      </c>
      <c r="O104" s="2" t="s">
        <v>490</v>
      </c>
      <c r="P104" t="b">
        <v>0</v>
      </c>
    </row>
    <row r="105" spans="1:16" x14ac:dyDescent="0.25">
      <c r="A105" s="6">
        <v>100</v>
      </c>
      <c r="B105" s="6" t="b">
        <v>0</v>
      </c>
      <c r="C105" t="str">
        <f>_xlfn.LET(
_xlpm.FamilyName,IF(F105="","",F105)&amp;IF(G105="",""," "&amp;G105)&amp;IF(H105="",""," "&amp;H105),
_xlpm.MarriedName,IF(F105="","",F105)&amp;IF(G105="",""," "&amp;G105)&amp;IF(I105="",""," "&amp;I105)&amp;IF(H105="",""," "&amp;"("&amp;H105)&amp;")",
TRIM(IF(Index_of_People[[#This Row],[Prefer NickName]]=TRUE,Index_of_People[[#This Row],[Nick Names]],
IF(I105&lt;&gt;"",_xlpm.MarriedName,_xlpm.FamilyName))))</f>
        <v>Elias del Valle</v>
      </c>
      <c r="D105" t="b">
        <v>1</v>
      </c>
      <c r="F105" t="s">
        <v>252</v>
      </c>
      <c r="H105" t="s">
        <v>453</v>
      </c>
      <c r="J105"/>
      <c r="K105" t="str">
        <f>IF(Index_of_People[[#This Row],[SpouseID]]="","",IFERROR(INDEX(Index_of_People[Metadata Name],MATCH(Index_of_People[[#This Row],[SpouseID]],Index_of_People[NameID],0)),""))</f>
        <v/>
      </c>
      <c r="L105" s="6"/>
      <c r="M105" s="2" t="s">
        <v>490</v>
      </c>
      <c r="N105" s="2" t="s">
        <v>490</v>
      </c>
      <c r="O105" s="2" t="s">
        <v>490</v>
      </c>
      <c r="P105" t="b">
        <v>1</v>
      </c>
    </row>
    <row r="106" spans="1:16" x14ac:dyDescent="0.25">
      <c r="A106" s="6">
        <v>101</v>
      </c>
      <c r="B106" s="6" t="b">
        <v>0</v>
      </c>
      <c r="C106" t="str">
        <f>_xlfn.LET(
_xlpm.FamilyName,IF(F106="","",F106)&amp;IF(G106="",""," "&amp;G106)&amp;IF(H106="",""," "&amp;H106),
_xlpm.MarriedName,IF(F106="","",F106)&amp;IF(G106="",""," "&amp;G106)&amp;IF(I106="",""," "&amp;I106)&amp;IF(H106="",""," "&amp;"("&amp;H106)&amp;")",
TRIM(IF(Index_of_People[[#This Row],[Prefer NickName]]=TRUE,Index_of_People[[#This Row],[Nick Names]],
IF(I106&lt;&gt;"",_xlpm.MarriedName,_xlpm.FamilyName))))</f>
        <v>Eliza Dight (Wedlake)</v>
      </c>
      <c r="D106" t="b">
        <v>1</v>
      </c>
      <c r="F106" t="s">
        <v>253</v>
      </c>
      <c r="H106" t="s">
        <v>492</v>
      </c>
      <c r="I106" t="s">
        <v>343</v>
      </c>
      <c r="J106"/>
      <c r="K106" t="str">
        <f>IF(Index_of_People[[#This Row],[SpouseID]]="","",IFERROR(INDEX(Index_of_People[Metadata Name],MATCH(Index_of_People[[#This Row],[SpouseID]],Index_of_People[NameID],0)),""))</f>
        <v/>
      </c>
      <c r="L106" s="6"/>
      <c r="M106" s="2" t="s">
        <v>490</v>
      </c>
      <c r="N106" s="2" t="s">
        <v>490</v>
      </c>
      <c r="O106" s="2" t="s">
        <v>490</v>
      </c>
      <c r="P106" t="b">
        <v>1</v>
      </c>
    </row>
    <row r="107" spans="1:16" x14ac:dyDescent="0.25">
      <c r="A107" s="6">
        <v>102</v>
      </c>
      <c r="B107" s="6" t="b">
        <v>0</v>
      </c>
      <c r="C107" t="str">
        <f>_xlfn.LET(
_xlpm.FamilyName,IF(F107="","",F107)&amp;IF(G107="",""," "&amp;G107)&amp;IF(H107="",""," "&amp;H107),
_xlpm.MarriedName,IF(F107="","",F107)&amp;IF(G107="",""," "&amp;G107)&amp;IF(I107="",""," "&amp;I107)&amp;IF(H107="",""," "&amp;"("&amp;H107)&amp;")",
TRIM(IF(Index_of_People[[#This Row],[Prefer NickName]]=TRUE,Index_of_People[[#This Row],[Nick Names]],
IF(I107&lt;&gt;"",_xlpm.MarriedName,_xlpm.FamilyName))))</f>
        <v>Elizabeth Woodworth</v>
      </c>
      <c r="D107" t="b">
        <v>1</v>
      </c>
      <c r="F107" t="s">
        <v>119</v>
      </c>
      <c r="H107" t="s">
        <v>344</v>
      </c>
      <c r="J107"/>
      <c r="K107" t="str">
        <f>IF(Index_of_People[[#This Row],[SpouseID]]="","",IFERROR(INDEX(Index_of_People[Metadata Name],MATCH(Index_of_People[[#This Row],[SpouseID]],Index_of_People[NameID],0)),""))</f>
        <v/>
      </c>
      <c r="L107" s="6"/>
      <c r="M107" s="2" t="s">
        <v>490</v>
      </c>
      <c r="N107" s="2" t="s">
        <v>490</v>
      </c>
      <c r="O107" s="2" t="s">
        <v>490</v>
      </c>
      <c r="P107" t="b">
        <v>0</v>
      </c>
    </row>
    <row r="108" spans="1:16" x14ac:dyDescent="0.25">
      <c r="A108" s="6">
        <v>103</v>
      </c>
      <c r="B108" s="6" t="b">
        <v>0</v>
      </c>
      <c r="C108" t="str">
        <f>_xlfn.LET(
_xlpm.FamilyName,IF(F108="","",F108)&amp;IF(G108="",""," "&amp;G108)&amp;IF(H108="",""," "&amp;H108),
_xlpm.MarriedName,IF(F108="","",F108)&amp;IF(G108="",""," "&amp;G108)&amp;IF(I108="",""," "&amp;I108)&amp;IF(H108="",""," "&amp;"("&amp;H108)&amp;")",
TRIM(IF(Index_of_People[[#This Row],[Prefer NickName]]=TRUE,Index_of_People[[#This Row],[Nick Names]],
IF(I108&lt;&gt;"",_xlpm.MarriedName,_xlpm.FamilyName))))</f>
        <v>Ellie Boisvert</v>
      </c>
      <c r="D108" t="b">
        <v>0</v>
      </c>
      <c r="F108" t="s">
        <v>120</v>
      </c>
      <c r="G108" t="s">
        <v>490</v>
      </c>
      <c r="H108" t="s">
        <v>345</v>
      </c>
      <c r="I108" t="s">
        <v>490</v>
      </c>
      <c r="J108" t="s">
        <v>490</v>
      </c>
      <c r="K108" t="str">
        <f>IF(Index_of_People[[#This Row],[SpouseID]]="","",IFERROR(INDEX(Index_of_People[Metadata Name],MATCH(Index_of_People[[#This Row],[SpouseID]],Index_of_People[NameID],0)),""))</f>
        <v/>
      </c>
      <c r="L108" s="6"/>
      <c r="M108" s="2" t="s">
        <v>490</v>
      </c>
      <c r="N108" s="2" t="s">
        <v>490</v>
      </c>
      <c r="O108" s="2" t="s">
        <v>490</v>
      </c>
      <c r="P108" t="b">
        <v>0</v>
      </c>
    </row>
    <row r="109" spans="1:16" x14ac:dyDescent="0.25">
      <c r="A109" s="6">
        <v>104</v>
      </c>
      <c r="B109" s="6" t="b">
        <v>0</v>
      </c>
      <c r="C109" t="str">
        <f>_xlfn.LET(
_xlpm.FamilyName,IF(F109="","",F109)&amp;IF(G109="",""," "&amp;G109)&amp;IF(H109="",""," "&amp;H109),
_xlpm.MarriedName,IF(F109="","",F109)&amp;IF(G109="",""," "&amp;G109)&amp;IF(I109="",""," "&amp;I109)&amp;IF(H109="",""," "&amp;"("&amp;H109)&amp;")",
TRIM(IF(Index_of_People[[#This Row],[Prefer NickName]]=TRUE,Index_of_People[[#This Row],[Nick Names]],
IF(I109&lt;&gt;"",_xlpm.MarriedName,_xlpm.FamilyName))))</f>
        <v>Els Van Wijngaarden</v>
      </c>
      <c r="D109" t="b">
        <v>1</v>
      </c>
      <c r="F109" t="s">
        <v>254</v>
      </c>
      <c r="H109" t="s">
        <v>454</v>
      </c>
      <c r="J109"/>
      <c r="K109" t="str">
        <f>IF(Index_of_People[[#This Row],[SpouseID]]="","",IFERROR(INDEX(Index_of_People[Metadata Name],MATCH(Index_of_People[[#This Row],[SpouseID]],Index_of_People[NameID],0)),""))</f>
        <v/>
      </c>
      <c r="L109" s="6"/>
      <c r="M109" s="2" t="s">
        <v>490</v>
      </c>
      <c r="N109" s="2" t="s">
        <v>490</v>
      </c>
      <c r="O109" s="2" t="s">
        <v>490</v>
      </c>
      <c r="P109" t="b">
        <v>0</v>
      </c>
    </row>
    <row r="110" spans="1:16" x14ac:dyDescent="0.25">
      <c r="A110" s="6">
        <v>105</v>
      </c>
      <c r="B110" s="6" t="b">
        <v>0</v>
      </c>
      <c r="C110" t="str">
        <f>_xlfn.LET(
_xlpm.FamilyName,IF(F110="","",F110)&amp;IF(G110="",""," "&amp;G110)&amp;IF(H110="",""," "&amp;H110),
_xlpm.MarriedName,IF(F110="","",F110)&amp;IF(G110="",""," "&amp;G110)&amp;IF(I110="",""," "&amp;I110)&amp;IF(H110="",""," "&amp;"("&amp;H110)&amp;")",
TRIM(IF(Index_of_People[[#This Row],[Prefer NickName]]=TRUE,Index_of_People[[#This Row],[Nick Names]],
IF(I110&lt;&gt;"",_xlpm.MarriedName,_xlpm.FamilyName))))</f>
        <v>Elsie Mae Barker (Carey)</v>
      </c>
      <c r="D110" t="b">
        <v>1</v>
      </c>
      <c r="F110" t="s">
        <v>19</v>
      </c>
      <c r="G110" t="s">
        <v>333</v>
      </c>
      <c r="H110" t="s">
        <v>320</v>
      </c>
      <c r="I110" t="s">
        <v>312</v>
      </c>
      <c r="J110"/>
      <c r="K110" t="str">
        <f>IF(Index_of_People[[#This Row],[SpouseID]]="","",IFERROR(INDEX(Index_of_People[Metadata Name],MATCH(Index_of_People[[#This Row],[SpouseID]],Index_of_People[NameID],0)),""))</f>
        <v>Hansel William Patten (Barker)</v>
      </c>
      <c r="L110" s="6">
        <v>131</v>
      </c>
      <c r="M110" s="2">
        <v>7522</v>
      </c>
      <c r="N110" s="2">
        <v>14870</v>
      </c>
      <c r="O110" s="2">
        <v>37240</v>
      </c>
      <c r="P110" t="b">
        <v>1</v>
      </c>
    </row>
    <row r="111" spans="1:16" x14ac:dyDescent="0.25">
      <c r="A111" s="6">
        <v>106</v>
      </c>
      <c r="B111" s="6" t="b">
        <v>0</v>
      </c>
      <c r="C111" t="str">
        <f>_xlfn.LET(
_xlpm.FamilyName,IF(F111="","",F111)&amp;IF(G111="",""," "&amp;G111)&amp;IF(H111="",""," "&amp;H111),
_xlpm.MarriedName,IF(F111="","",F111)&amp;IF(G111="",""," "&amp;G111)&amp;IF(I111="",""," "&amp;I111)&amp;IF(H111="",""," "&amp;"("&amp;H111)&amp;")",
TRIM(IF(Index_of_People[[#This Row],[Prefer NickName]]=TRUE,Index_of_People[[#This Row],[Nick Names]],
IF(I111&lt;&gt;"",_xlpm.MarriedName,_xlpm.FamilyName))))</f>
        <v>Emily</v>
      </c>
      <c r="D111" t="b">
        <v>0</v>
      </c>
      <c r="F111" t="s">
        <v>255</v>
      </c>
      <c r="J111" t="s">
        <v>494</v>
      </c>
      <c r="K111" t="str">
        <f>IF(Index_of_People[[#This Row],[SpouseID]]="","",IFERROR(INDEX(Index_of_People[Metadata Name],MATCH(Index_of_People[[#This Row],[SpouseID]],Index_of_People[NameID],0)),""))</f>
        <v/>
      </c>
      <c r="L111" s="6"/>
      <c r="M111" s="2" t="s">
        <v>490</v>
      </c>
      <c r="N111" s="2" t="s">
        <v>490</v>
      </c>
      <c r="O111" s="2" t="s">
        <v>490</v>
      </c>
      <c r="P111" t="b">
        <v>0</v>
      </c>
    </row>
    <row r="112" spans="1:16" x14ac:dyDescent="0.25">
      <c r="A112" s="6">
        <v>107</v>
      </c>
      <c r="B112" s="6" t="b">
        <v>0</v>
      </c>
      <c r="C112" t="str">
        <f>_xlfn.LET(
_xlpm.FamilyName,IF(F112="","",F112)&amp;IF(G112="",""," "&amp;G112)&amp;IF(H112="",""," "&amp;H112),
_xlpm.MarriedName,IF(F112="","",F112)&amp;IF(G112="",""," "&amp;G112)&amp;IF(I112="",""," "&amp;I112)&amp;IF(H112="",""," "&amp;"("&amp;H112)&amp;")",
TRIM(IF(Index_of_People[[#This Row],[Prefer NickName]]=TRUE,Index_of_People[[#This Row],[Nick Names]],
IF(I112&lt;&gt;"",_xlpm.MarriedName,_xlpm.FamilyName))))</f>
        <v>Erica Margaret Bruce (Enns)</v>
      </c>
      <c r="D112" t="b">
        <v>1</v>
      </c>
      <c r="F112" t="s">
        <v>256</v>
      </c>
      <c r="G112" t="s">
        <v>346</v>
      </c>
      <c r="H112" t="s">
        <v>304</v>
      </c>
      <c r="I112" t="s">
        <v>347</v>
      </c>
      <c r="J112"/>
      <c r="K112" t="str">
        <f>IF(Index_of_People[[#This Row],[SpouseID]]="","",IFERROR(INDEX(Index_of_People[Metadata Name],MATCH(Index_of_People[[#This Row],[SpouseID]],Index_of_People[NameID],0)),""))</f>
        <v/>
      </c>
      <c r="L112" s="6"/>
      <c r="M112" s="2" t="s">
        <v>490</v>
      </c>
      <c r="N112" s="2" t="s">
        <v>490</v>
      </c>
      <c r="O112" s="2" t="s">
        <v>490</v>
      </c>
      <c r="P112" t="b">
        <v>1</v>
      </c>
    </row>
    <row r="113" spans="1:16" x14ac:dyDescent="0.25">
      <c r="A113" s="6">
        <v>108</v>
      </c>
      <c r="B113" s="6" t="b">
        <v>0</v>
      </c>
      <c r="C113" t="str">
        <f>_xlfn.LET(
_xlpm.FamilyName,IF(F113="","",F113)&amp;IF(G113="",""," "&amp;G113)&amp;IF(H113="",""," "&amp;H113),
_xlpm.MarriedName,IF(F113="","",F113)&amp;IF(G113="",""," "&amp;G113)&amp;IF(I113="",""," "&amp;I113)&amp;IF(H113="",""," "&amp;"("&amp;H113)&amp;")",
TRIM(IF(Index_of_People[[#This Row],[Prefer NickName]]=TRUE,Index_of_People[[#This Row],[Nick Names]],
IF(I113&lt;&gt;"",_xlpm.MarriedName,_xlpm.FamilyName))))</f>
        <v>Eunice</v>
      </c>
      <c r="D113" t="b">
        <v>0</v>
      </c>
      <c r="F113" t="s">
        <v>46</v>
      </c>
      <c r="J113"/>
      <c r="K113" t="str">
        <f>IF(Index_of_People[[#This Row],[SpouseID]]="","",IFERROR(INDEX(Index_of_People[Metadata Name],MATCH(Index_of_People[[#This Row],[SpouseID]],Index_of_People[NameID],0)),""))</f>
        <v/>
      </c>
      <c r="L113" s="6"/>
      <c r="M113" s="2" t="s">
        <v>490</v>
      </c>
      <c r="N113" s="2" t="s">
        <v>490</v>
      </c>
      <c r="O113" s="2" t="s">
        <v>490</v>
      </c>
      <c r="P113" t="b">
        <v>0</v>
      </c>
    </row>
    <row r="114" spans="1:16" x14ac:dyDescent="0.25">
      <c r="A114" s="6">
        <v>109</v>
      </c>
      <c r="B114" s="6" t="b">
        <v>0</v>
      </c>
      <c r="C114" t="str">
        <f>_xlfn.LET(
_xlpm.FamilyName,IF(F114="","",F114)&amp;IF(G114="",""," "&amp;G114)&amp;IF(H114="",""," "&amp;H114),
_xlpm.MarriedName,IF(F114="","",F114)&amp;IF(G114="",""," "&amp;G114)&amp;IF(I114="",""," "&amp;I114)&amp;IF(H114="",""," "&amp;"("&amp;H114)&amp;")",
TRIM(IF(Index_of_People[[#This Row],[Prefer NickName]]=TRUE,Index_of_People[[#This Row],[Nick Names]],
IF(I114&lt;&gt;"",_xlpm.MarriedName,_xlpm.FamilyName))))</f>
        <v>Everett</v>
      </c>
      <c r="D114" t="b">
        <v>0</v>
      </c>
      <c r="F114" t="s">
        <v>47</v>
      </c>
      <c r="J114"/>
      <c r="K114" t="str">
        <f>IF(Index_of_People[[#This Row],[SpouseID]]="","",IFERROR(INDEX(Index_of_People[Metadata Name],MATCH(Index_of_People[[#This Row],[SpouseID]],Index_of_People[NameID],0)),""))</f>
        <v/>
      </c>
      <c r="L114" s="6"/>
      <c r="M114" s="2" t="s">
        <v>490</v>
      </c>
      <c r="N114" s="2" t="s">
        <v>490</v>
      </c>
      <c r="O114" s="2" t="s">
        <v>490</v>
      </c>
      <c r="P114" t="b">
        <v>0</v>
      </c>
    </row>
    <row r="115" spans="1:16" x14ac:dyDescent="0.25">
      <c r="A115" s="6">
        <v>110</v>
      </c>
      <c r="B115" s="6" t="b">
        <v>0</v>
      </c>
      <c r="C115" t="str">
        <f>_xlfn.LET(
_xlpm.FamilyName,IF(F115="","",F115)&amp;IF(G115="",""," "&amp;G115)&amp;IF(H115="",""," "&amp;H115),
_xlpm.MarriedName,IF(F115="","",F115)&amp;IF(G115="",""," "&amp;G115)&amp;IF(I115="",""," "&amp;I115)&amp;IF(H115="",""," "&amp;"("&amp;H115)&amp;")",
TRIM(IF(Index_of_People[[#This Row],[Prefer NickName]]=TRUE,Index_of_People[[#This Row],[Nick Names]],
IF(I115&lt;&gt;"",_xlpm.MarriedName,_xlpm.FamilyName))))</f>
        <v>Fiona</v>
      </c>
      <c r="D115" t="b">
        <v>1</v>
      </c>
      <c r="F115" t="s">
        <v>31</v>
      </c>
      <c r="J115"/>
      <c r="K115" t="str">
        <f>IF(Index_of_People[[#This Row],[SpouseID]]="","",IFERROR(INDEX(Index_of_People[Metadata Name],MATCH(Index_of_People[[#This Row],[SpouseID]],Index_of_People[NameID],0)),""))</f>
        <v/>
      </c>
      <c r="L115" s="6"/>
      <c r="M115" s="2" t="s">
        <v>490</v>
      </c>
      <c r="N115" s="2" t="s">
        <v>490</v>
      </c>
      <c r="O115" s="2" t="s">
        <v>490</v>
      </c>
      <c r="P115" t="b">
        <v>0</v>
      </c>
    </row>
    <row r="116" spans="1:16" ht="14.25" customHeight="1" x14ac:dyDescent="0.25">
      <c r="A116" s="6">
        <v>111</v>
      </c>
      <c r="B116" s="6" t="b">
        <v>0</v>
      </c>
      <c r="C116" t="str">
        <f>_xlfn.LET(
_xlpm.FamilyName,IF(F116="","",F116)&amp;IF(G116="",""," "&amp;G116)&amp;IF(H116="",""," "&amp;H116),
_xlpm.MarriedName,IF(F116="","",F116)&amp;IF(G116="",""," "&amp;G116)&amp;IF(I116="",""," "&amp;I116)&amp;IF(H116="",""," "&amp;"("&amp;H116)&amp;")",
TRIM(IF(Index_of_People[[#This Row],[Prefer NickName]]=TRUE,Index_of_People[[#This Row],[Nick Names]],
IF(I116&lt;&gt;"",_xlpm.MarriedName,_xlpm.FamilyName))))</f>
        <v>Fran Aitkens</v>
      </c>
      <c r="D116" t="b">
        <v>1</v>
      </c>
      <c r="F116" t="s">
        <v>121</v>
      </c>
      <c r="H116" t="s">
        <v>348</v>
      </c>
      <c r="J116"/>
      <c r="K116" t="str">
        <f>IF(Index_of_People[[#This Row],[SpouseID]]="","",IFERROR(INDEX(Index_of_People[Metadata Name],MATCH(Index_of_People[[#This Row],[SpouseID]],Index_of_People[NameID],0)),""))</f>
        <v/>
      </c>
      <c r="L116" s="6"/>
      <c r="M116" s="2" t="s">
        <v>490</v>
      </c>
      <c r="N116" s="2" t="s">
        <v>490</v>
      </c>
      <c r="O116" s="2" t="s">
        <v>490</v>
      </c>
      <c r="P116" t="b">
        <v>0</v>
      </c>
    </row>
    <row r="117" spans="1:16" x14ac:dyDescent="0.25">
      <c r="A117" s="6">
        <v>112</v>
      </c>
      <c r="B117" s="6" t="b">
        <v>0</v>
      </c>
      <c r="C117" t="str">
        <f>_xlfn.LET(
_xlpm.FamilyName,IF(F117="","",F117)&amp;IF(G117="",""," "&amp;G117)&amp;IF(H117="",""," "&amp;H117),
_xlpm.MarriedName,IF(F117="","",F117)&amp;IF(G117="",""," "&amp;G117)&amp;IF(I117="",""," "&amp;I117)&amp;IF(H117="",""," "&amp;"("&amp;H117)&amp;")",
TRIM(IF(Index_of_People[[#This Row],[Prefer NickName]]=TRUE,Index_of_People[[#This Row],[Nick Names]],
IF(I117&lt;&gt;"",_xlpm.MarriedName,_xlpm.FamilyName))))</f>
        <v>Fran Backhouse</v>
      </c>
      <c r="D117" t="b">
        <v>1</v>
      </c>
      <c r="F117" t="s">
        <v>121</v>
      </c>
      <c r="G117" t="s">
        <v>490</v>
      </c>
      <c r="H117" t="s">
        <v>349</v>
      </c>
      <c r="I117" t="s">
        <v>490</v>
      </c>
      <c r="J117" t="s">
        <v>490</v>
      </c>
      <c r="K117" t="str">
        <f>IF(Index_of_People[[#This Row],[SpouseID]]="","",IFERROR(INDEX(Index_of_People[Metadata Name],MATCH(Index_of_People[[#This Row],[SpouseID]],Index_of_People[NameID],0)),""))</f>
        <v/>
      </c>
      <c r="L117" s="6"/>
      <c r="M117" s="2" t="s">
        <v>490</v>
      </c>
      <c r="N117" s="2" t="s">
        <v>490</v>
      </c>
      <c r="O117" s="2" t="s">
        <v>490</v>
      </c>
      <c r="P117" t="b">
        <v>0</v>
      </c>
    </row>
    <row r="118" spans="1:16" x14ac:dyDescent="0.25">
      <c r="A118" s="6">
        <v>113</v>
      </c>
      <c r="B118" s="6" t="b">
        <v>0</v>
      </c>
      <c r="C118" t="str">
        <f>_xlfn.LET(
_xlpm.FamilyName,IF(F118="","",F118)&amp;IF(G118="",""," "&amp;G118)&amp;IF(H118="",""," "&amp;H118),
_xlpm.MarriedName,IF(F118="","",F118)&amp;IF(G118="",""," "&amp;G118)&amp;IF(I118="",""," "&amp;I118)&amp;IF(H118="",""," "&amp;"("&amp;H118)&amp;")",
TRIM(IF(Index_of_People[[#This Row],[Prefer NickName]]=TRUE,Index_of_People[[#This Row],[Nick Names]],
IF(I118&lt;&gt;"",_xlpm.MarriedName,_xlpm.FamilyName))))</f>
        <v>Fred Shadian</v>
      </c>
      <c r="D118" t="b">
        <v>1</v>
      </c>
      <c r="F118" t="s">
        <v>122</v>
      </c>
      <c r="H118" t="s">
        <v>350</v>
      </c>
      <c r="J118"/>
      <c r="K118" t="str">
        <f>IF(Index_of_People[[#This Row],[SpouseID]]="","",IFERROR(INDEX(Index_of_People[Metadata Name],MATCH(Index_of_People[[#This Row],[SpouseID]],Index_of_People[NameID],0)),""))</f>
        <v/>
      </c>
      <c r="L118" s="6"/>
      <c r="M118" s="2" t="s">
        <v>490</v>
      </c>
      <c r="N118" s="2" t="s">
        <v>490</v>
      </c>
      <c r="O118" s="2" t="s">
        <v>490</v>
      </c>
      <c r="P118" t="b">
        <v>0</v>
      </c>
    </row>
    <row r="119" spans="1:16" x14ac:dyDescent="0.25">
      <c r="A119" s="6">
        <v>114</v>
      </c>
      <c r="B119" s="6" t="b">
        <v>0</v>
      </c>
      <c r="C119" t="str">
        <f>_xlfn.LET(
_xlpm.FamilyName,IF(F119="","",F119)&amp;IF(G119="",""," "&amp;G119)&amp;IF(H119="",""," "&amp;H119),
_xlpm.MarriedName,IF(F119="","",F119)&amp;IF(G119="",""," "&amp;G119)&amp;IF(I119="",""," "&amp;I119)&amp;IF(H119="",""," "&amp;"("&amp;H119)&amp;")",
TRIM(IF(Index_of_People[[#This Row],[Prefer NickName]]=TRUE,Index_of_People[[#This Row],[Nick Names]],
IF(I119&lt;&gt;"",_xlpm.MarriedName,_xlpm.FamilyName))))</f>
        <v>Gail Ross</v>
      </c>
      <c r="D119" t="b">
        <v>1</v>
      </c>
      <c r="F119" t="s">
        <v>123</v>
      </c>
      <c r="H119" t="s">
        <v>351</v>
      </c>
      <c r="J119"/>
      <c r="K119" t="str">
        <f>IF(Index_of_People[[#This Row],[SpouseID]]="","",IFERROR(INDEX(Index_of_People[Metadata Name],MATCH(Index_of_People[[#This Row],[SpouseID]],Index_of_People[NameID],0)),""))</f>
        <v/>
      </c>
      <c r="L119" s="6"/>
      <c r="M119" s="2" t="s">
        <v>490</v>
      </c>
      <c r="N119" s="2" t="s">
        <v>490</v>
      </c>
      <c r="O119" s="2" t="s">
        <v>490</v>
      </c>
      <c r="P119" t="b">
        <v>0</v>
      </c>
    </row>
    <row r="120" spans="1:16" x14ac:dyDescent="0.25">
      <c r="A120" s="6">
        <v>115</v>
      </c>
      <c r="B120" s="6" t="b">
        <v>0</v>
      </c>
      <c r="C120" t="str">
        <f>_xlfn.LET(
_xlpm.FamilyName,IF(F120="","",F120)&amp;IF(G120="",""," "&amp;G120)&amp;IF(H120="",""," "&amp;H120),
_xlpm.MarriedName,IF(F120="","",F120)&amp;IF(G120="",""," "&amp;G120)&amp;IF(I120="",""," "&amp;I120)&amp;IF(H120="",""," "&amp;"("&amp;H120)&amp;")",
TRIM(IF(Index_of_People[[#This Row],[Prefer NickName]]=TRUE,Index_of_People[[#This Row],[Nick Names]],
IF(I120&lt;&gt;"",_xlpm.MarriedName,_xlpm.FamilyName))))</f>
        <v>Galen</v>
      </c>
      <c r="D120" t="b">
        <v>0</v>
      </c>
      <c r="F120" t="s">
        <v>257</v>
      </c>
      <c r="J120" t="s">
        <v>462</v>
      </c>
      <c r="K120" t="str">
        <f>IF(Index_of_People[[#This Row],[SpouseID]]="","",IFERROR(INDEX(Index_of_People[Metadata Name],MATCH(Index_of_People[[#This Row],[SpouseID]],Index_of_People[NameID],0)),""))</f>
        <v/>
      </c>
      <c r="L120" s="6"/>
      <c r="M120" s="2" t="s">
        <v>490</v>
      </c>
      <c r="N120" s="2" t="s">
        <v>490</v>
      </c>
      <c r="O120" s="2" t="s">
        <v>490</v>
      </c>
      <c r="P120" t="b">
        <v>0</v>
      </c>
    </row>
    <row r="121" spans="1:16" x14ac:dyDescent="0.25">
      <c r="A121" s="6">
        <v>116</v>
      </c>
      <c r="B121" s="6" t="b">
        <v>0</v>
      </c>
      <c r="C121" t="str">
        <f>_xlfn.LET(
_xlpm.FamilyName,IF(F121="","",F121)&amp;IF(G121="",""," "&amp;G121)&amp;IF(H121="",""," "&amp;H121),
_xlpm.MarriedName,IF(F121="","",F121)&amp;IF(G121="",""," "&amp;G121)&amp;IF(I121="",""," "&amp;I121)&amp;IF(H121="",""," "&amp;"("&amp;H121)&amp;")",
TRIM(IF(Index_of_People[[#This Row],[Prefer NickName]]=TRUE,Index_of_People[[#This Row],[Nick Names]],
IF(I121&lt;&gt;"",_xlpm.MarriedName,_xlpm.FamilyName))))</f>
        <v>Garth Campbell</v>
      </c>
      <c r="D121" t="b">
        <v>1</v>
      </c>
      <c r="F121" t="s">
        <v>124</v>
      </c>
      <c r="G121" t="s">
        <v>490</v>
      </c>
      <c r="H121" t="s">
        <v>352</v>
      </c>
      <c r="I121" t="s">
        <v>490</v>
      </c>
      <c r="J121" t="s">
        <v>490</v>
      </c>
      <c r="K121" t="str">
        <f>IF(Index_of_People[[#This Row],[SpouseID]]="","",IFERROR(INDEX(Index_of_People[Metadata Name],MATCH(Index_of_People[[#This Row],[SpouseID]],Index_of_People[NameID],0)),""))</f>
        <v/>
      </c>
      <c r="L121" s="6"/>
      <c r="M121" s="2" t="s">
        <v>490</v>
      </c>
      <c r="N121" s="2" t="s">
        <v>490</v>
      </c>
      <c r="O121" s="2" t="s">
        <v>490</v>
      </c>
      <c r="P121" t="b">
        <v>0</v>
      </c>
    </row>
    <row r="122" spans="1:16" x14ac:dyDescent="0.25">
      <c r="A122" s="6">
        <v>117</v>
      </c>
      <c r="B122" s="6" t="b">
        <v>0</v>
      </c>
      <c r="C122" t="str">
        <f>_xlfn.LET(
_xlpm.FamilyName,IF(F122="","",F122)&amp;IF(G122="",""," "&amp;G122)&amp;IF(H122="",""," "&amp;H122),
_xlpm.MarriedName,IF(F122="","",F122)&amp;IF(G122="",""," "&amp;G122)&amp;IF(I122="",""," "&amp;I122)&amp;IF(H122="",""," "&amp;"("&amp;H122)&amp;")",
TRIM(IF(Index_of_People[[#This Row],[Prefer NickName]]=TRUE,Index_of_People[[#This Row],[Nick Names]],
IF(I122&lt;&gt;"",_xlpm.MarriedName,_xlpm.FamilyName))))</f>
        <v>Gavin McLeod</v>
      </c>
      <c r="D122" t="b">
        <v>1</v>
      </c>
      <c r="F122" t="s">
        <v>125</v>
      </c>
      <c r="H122" t="s">
        <v>353</v>
      </c>
      <c r="J122"/>
      <c r="K122" t="str">
        <f>IF(Index_of_People[[#This Row],[SpouseID]]="","",IFERROR(INDEX(Index_of_People[Metadata Name],MATCH(Index_of_People[[#This Row],[SpouseID]],Index_of_People[NameID],0)),""))</f>
        <v/>
      </c>
      <c r="L122" s="6"/>
      <c r="M122" s="2" t="s">
        <v>490</v>
      </c>
      <c r="N122" s="2" t="s">
        <v>490</v>
      </c>
      <c r="O122" s="2" t="s">
        <v>490</v>
      </c>
      <c r="P122" t="b">
        <v>0</v>
      </c>
    </row>
    <row r="123" spans="1:16" x14ac:dyDescent="0.25">
      <c r="A123" s="6">
        <v>118</v>
      </c>
      <c r="B123" s="6" t="b">
        <v>0</v>
      </c>
      <c r="C123" t="str">
        <f>_xlfn.LET(
_xlpm.FamilyName,IF(F123="","",F123)&amp;IF(G123="",""," "&amp;G123)&amp;IF(H123="",""," "&amp;H123),
_xlpm.MarriedName,IF(F123="","",F123)&amp;IF(G123="",""," "&amp;G123)&amp;IF(I123="",""," "&amp;I123)&amp;IF(H123="",""," "&amp;"("&amp;H123)&amp;")",
TRIM(IF(Index_of_People[[#This Row],[Prefer NickName]]=TRUE,Index_of_People[[#This Row],[Nick Names]],
IF(I123&lt;&gt;"",_xlpm.MarriedName,_xlpm.FamilyName))))</f>
        <v>Gene Schnabel</v>
      </c>
      <c r="D123" t="b">
        <v>1</v>
      </c>
      <c r="F123" t="s">
        <v>126</v>
      </c>
      <c r="H123" t="s">
        <v>354</v>
      </c>
      <c r="J123"/>
      <c r="K123" t="str">
        <f>IF(Index_of_People[[#This Row],[SpouseID]]="","",IFERROR(INDEX(Index_of_People[Metadata Name],MATCH(Index_of_People[[#This Row],[SpouseID]],Index_of_People[NameID],0)),""))</f>
        <v/>
      </c>
      <c r="L123" s="6"/>
      <c r="M123" s="2" t="s">
        <v>490</v>
      </c>
      <c r="N123" s="2" t="s">
        <v>490</v>
      </c>
      <c r="O123" s="2" t="s">
        <v>490</v>
      </c>
      <c r="P123" t="b">
        <v>0</v>
      </c>
    </row>
    <row r="124" spans="1:16" x14ac:dyDescent="0.25">
      <c r="A124" s="6">
        <v>119</v>
      </c>
      <c r="B124" s="6" t="b">
        <v>0</v>
      </c>
      <c r="C124" t="str">
        <f>_xlfn.LET(
_xlpm.FamilyName,IF(F124="","",F124)&amp;IF(G124="",""," "&amp;G124)&amp;IF(H124="",""," "&amp;H124),
_xlpm.MarriedName,IF(F124="","",F124)&amp;IF(G124="",""," "&amp;G124)&amp;IF(I124="",""," "&amp;I124)&amp;IF(H124="",""," "&amp;"("&amp;H124)&amp;")",
TRIM(IF(Index_of_People[[#This Row],[Prefer NickName]]=TRUE,Index_of_People[[#This Row],[Nick Names]],
IF(I124&lt;&gt;"",_xlpm.MarriedName,_xlpm.FamilyName))))</f>
        <v>Geoff Bessell</v>
      </c>
      <c r="D124" t="b">
        <v>1</v>
      </c>
      <c r="F124" t="s">
        <v>127</v>
      </c>
      <c r="G124" t="s">
        <v>490</v>
      </c>
      <c r="H124" t="s">
        <v>355</v>
      </c>
      <c r="I124" t="s">
        <v>490</v>
      </c>
      <c r="J124" t="s">
        <v>490</v>
      </c>
      <c r="K124" t="str">
        <f>IF(Index_of_People[[#This Row],[SpouseID]]="","",IFERROR(INDEX(Index_of_People[Metadata Name],MATCH(Index_of_People[[#This Row],[SpouseID]],Index_of_People[NameID],0)),""))</f>
        <v/>
      </c>
      <c r="L124" s="6"/>
      <c r="M124" s="2" t="s">
        <v>490</v>
      </c>
      <c r="N124" s="2" t="s">
        <v>490</v>
      </c>
      <c r="O124" s="2" t="s">
        <v>490</v>
      </c>
      <c r="P124" t="b">
        <v>0</v>
      </c>
    </row>
    <row r="125" spans="1:16" x14ac:dyDescent="0.25">
      <c r="A125" s="6">
        <v>120</v>
      </c>
      <c r="B125" s="6" t="b">
        <v>0</v>
      </c>
      <c r="C125" t="str">
        <f>_xlfn.LET(
_xlpm.FamilyName,IF(F125="","",F125)&amp;IF(G125="",""," "&amp;G125)&amp;IF(H125="",""," "&amp;H125),
_xlpm.MarriedName,IF(F125="","",F125)&amp;IF(G125="",""," "&amp;G125)&amp;IF(I125="",""," "&amp;I125)&amp;IF(H125="",""," "&amp;"("&amp;H125)&amp;")",
TRIM(IF(Index_of_People[[#This Row],[Prefer NickName]]=TRUE,Index_of_People[[#This Row],[Nick Names]],
IF(I125&lt;&gt;"",_xlpm.MarriedName,_xlpm.FamilyName))))</f>
        <v>George Dight</v>
      </c>
      <c r="D125" t="b">
        <v>1</v>
      </c>
      <c r="F125" t="s">
        <v>128</v>
      </c>
      <c r="H125" t="s">
        <v>343</v>
      </c>
      <c r="J125"/>
      <c r="K125" t="str">
        <f>IF(Index_of_People[[#This Row],[SpouseID]]="","",IFERROR(INDEX(Index_of_People[Metadata Name],MATCH(Index_of_People[[#This Row],[SpouseID]],Index_of_People[NameID],0)),""))</f>
        <v/>
      </c>
      <c r="L125" s="6"/>
      <c r="M125" s="2" t="s">
        <v>490</v>
      </c>
      <c r="N125" s="2" t="s">
        <v>490</v>
      </c>
      <c r="O125" s="2" t="s">
        <v>490</v>
      </c>
      <c r="P125" t="b">
        <v>1</v>
      </c>
    </row>
    <row r="126" spans="1:16" x14ac:dyDescent="0.25">
      <c r="A126" s="6">
        <v>121</v>
      </c>
      <c r="B126" s="6" t="b">
        <v>0</v>
      </c>
      <c r="C126" t="str">
        <f>_xlfn.LET(
_xlpm.FamilyName,IF(F126="","",F126)&amp;IF(G126="",""," "&amp;G126)&amp;IF(H126="",""," "&amp;H126),
_xlpm.MarriedName,IF(F126="","",F126)&amp;IF(G126="",""," "&amp;G126)&amp;IF(I126="",""," "&amp;I126)&amp;IF(H126="",""," "&amp;"("&amp;H126)&amp;")",
TRIM(IF(Index_of_People[[#This Row],[Prefer NickName]]=TRUE,Index_of_People[[#This Row],[Nick Names]],
IF(I126&lt;&gt;"",_xlpm.MarriedName,_xlpm.FamilyName))))</f>
        <v>Georgia</v>
      </c>
      <c r="D126" t="b">
        <v>1</v>
      </c>
      <c r="F126" t="s">
        <v>48</v>
      </c>
      <c r="J126"/>
      <c r="K126" t="str">
        <f>IF(Index_of_People[[#This Row],[SpouseID]]="","",IFERROR(INDEX(Index_of_People[Metadata Name],MATCH(Index_of_People[[#This Row],[SpouseID]],Index_of_People[NameID],0)),""))</f>
        <v/>
      </c>
      <c r="L126" s="6"/>
      <c r="M126" s="2" t="s">
        <v>490</v>
      </c>
      <c r="N126" s="2" t="s">
        <v>490</v>
      </c>
      <c r="O126" s="2" t="s">
        <v>490</v>
      </c>
      <c r="P126" t="b">
        <v>0</v>
      </c>
    </row>
    <row r="127" spans="1:16" x14ac:dyDescent="0.25">
      <c r="A127" s="6">
        <v>122</v>
      </c>
      <c r="B127" s="6" t="b">
        <v>0</v>
      </c>
      <c r="C127" t="str">
        <f>_xlfn.LET(
_xlpm.FamilyName,IF(F127="","",F127)&amp;IF(G127="",""," "&amp;G127)&amp;IF(H127="",""," "&amp;H127),
_xlpm.MarriedName,IF(F127="","",F127)&amp;IF(G127="",""," "&amp;G127)&amp;IF(I127="",""," "&amp;I127)&amp;IF(H127="",""," "&amp;"("&amp;H127)&amp;")",
TRIM(IF(Index_of_People[[#This Row],[Prefer NickName]]=TRUE,Index_of_People[[#This Row],[Nick Names]],
IF(I127&lt;&gt;"",_xlpm.MarriedName,_xlpm.FamilyName))))</f>
        <v>Gillian Thomas-Martin</v>
      </c>
      <c r="D127" t="b">
        <v>1</v>
      </c>
      <c r="F127" t="s">
        <v>129</v>
      </c>
      <c r="H127" t="s">
        <v>356</v>
      </c>
      <c r="J127"/>
      <c r="K127" t="str">
        <f>IF(Index_of_People[[#This Row],[SpouseID]]="","",IFERROR(INDEX(Index_of_People[Metadata Name],MATCH(Index_of_People[[#This Row],[SpouseID]],Index_of_People[NameID],0)),""))</f>
        <v/>
      </c>
      <c r="L127" s="6"/>
      <c r="M127" s="2" t="s">
        <v>490</v>
      </c>
      <c r="N127" s="2" t="s">
        <v>490</v>
      </c>
      <c r="O127" s="2" t="s">
        <v>490</v>
      </c>
      <c r="P127" t="b">
        <v>0</v>
      </c>
    </row>
    <row r="128" spans="1:16" x14ac:dyDescent="0.25">
      <c r="A128" s="6">
        <v>123</v>
      </c>
      <c r="B128" s="6" t="b">
        <v>0</v>
      </c>
      <c r="C128" t="str">
        <f>_xlfn.LET(
_xlpm.FamilyName,IF(F128="","",F128)&amp;IF(G128="",""," "&amp;G128)&amp;IF(H128="",""," "&amp;H128),
_xlpm.MarriedName,IF(F128="","",F128)&amp;IF(G128="",""," "&amp;G128)&amp;IF(I128="",""," "&amp;I128)&amp;IF(H128="",""," "&amp;"("&amp;H128)&amp;")",
TRIM(IF(Index_of_People[[#This Row],[Prefer NickName]]=TRUE,Index_of_People[[#This Row],[Nick Names]],
IF(I128&lt;&gt;"",_xlpm.MarriedName,_xlpm.FamilyName))))</f>
        <v>Glenn Rand</v>
      </c>
      <c r="D128" t="b">
        <v>1</v>
      </c>
      <c r="F128" t="s">
        <v>130</v>
      </c>
      <c r="H128" t="s">
        <v>357</v>
      </c>
      <c r="J128"/>
      <c r="K128" t="str">
        <f>IF(Index_of_People[[#This Row],[SpouseID]]="","",IFERROR(INDEX(Index_of_People[Metadata Name],MATCH(Index_of_People[[#This Row],[SpouseID]],Index_of_People[NameID],0)),""))</f>
        <v>Linda Rand (Carey)</v>
      </c>
      <c r="L128" s="6">
        <v>210</v>
      </c>
      <c r="M128" s="2" t="s">
        <v>490</v>
      </c>
      <c r="N128" s="2" t="s">
        <v>490</v>
      </c>
      <c r="O128" s="2" t="s">
        <v>490</v>
      </c>
      <c r="P128" t="b">
        <v>1</v>
      </c>
    </row>
    <row r="129" spans="1:16" x14ac:dyDescent="0.25">
      <c r="A129" s="6">
        <v>124</v>
      </c>
      <c r="B129" s="6" t="b">
        <v>0</v>
      </c>
      <c r="C129" t="str">
        <f>_xlfn.LET(
_xlpm.FamilyName,IF(F129="","",F129)&amp;IF(G129="",""," "&amp;G129)&amp;IF(H129="",""," "&amp;H129),
_xlpm.MarriedName,IF(F129="","",F129)&amp;IF(G129="",""," "&amp;G129)&amp;IF(I129="",""," "&amp;I129)&amp;IF(H129="",""," "&amp;"("&amp;H129)&amp;")",
TRIM(IF(Index_of_People[[#This Row],[Prefer NickName]]=TRUE,Index_of_People[[#This Row],[Nick Names]],
IF(I129&lt;&gt;"",_xlpm.MarriedName,_xlpm.FamilyName))))</f>
        <v>Gloria Valle</v>
      </c>
      <c r="D129" t="b">
        <v>1</v>
      </c>
      <c r="F129" t="s">
        <v>131</v>
      </c>
      <c r="H129" t="s">
        <v>317</v>
      </c>
      <c r="J129"/>
      <c r="K129" t="str">
        <f>IF(Index_of_People[[#This Row],[SpouseID]]="","",IFERROR(INDEX(Index_of_People[Metadata Name],MATCH(Index_of_People[[#This Row],[SpouseID]],Index_of_People[NameID],0)),""))</f>
        <v/>
      </c>
      <c r="L129" s="6"/>
      <c r="M129" s="2" t="s">
        <v>490</v>
      </c>
      <c r="N129" s="2" t="s">
        <v>490</v>
      </c>
      <c r="O129" s="2" t="s">
        <v>490</v>
      </c>
      <c r="P129" t="b">
        <v>0</v>
      </c>
    </row>
    <row r="130" spans="1:16" x14ac:dyDescent="0.25">
      <c r="A130" s="6">
        <v>125</v>
      </c>
      <c r="B130" s="6" t="b">
        <v>0</v>
      </c>
      <c r="C130" t="str">
        <f>_xlfn.LET(
_xlpm.FamilyName,IF(F130="","",F130)&amp;IF(G130="",""," "&amp;G130)&amp;IF(H130="",""," "&amp;H130),
_xlpm.MarriedName,IF(F130="","",F130)&amp;IF(G130="",""," "&amp;G130)&amp;IF(I130="",""," "&amp;I130)&amp;IF(H130="",""," "&amp;"("&amp;H130)&amp;")",
TRIM(IF(Index_of_People[[#This Row],[Prefer NickName]]=TRUE,Index_of_People[[#This Row],[Nick Names]],
IF(I130&lt;&gt;"",_xlpm.MarriedName,_xlpm.FamilyName))))</f>
        <v>Glynis Richman</v>
      </c>
      <c r="D130" t="b">
        <v>0</v>
      </c>
      <c r="F130" t="s">
        <v>132</v>
      </c>
      <c r="H130" t="s">
        <v>358</v>
      </c>
      <c r="J130"/>
      <c r="K130" t="str">
        <f>IF(Index_of_People[[#This Row],[SpouseID]]="","",IFERROR(INDEX(Index_of_People[Metadata Name],MATCH(Index_of_People[[#This Row],[SpouseID]],Index_of_People[NameID],0)),""))</f>
        <v/>
      </c>
      <c r="L130" s="6"/>
      <c r="M130" s="2" t="s">
        <v>490</v>
      </c>
      <c r="N130" s="2" t="s">
        <v>490</v>
      </c>
      <c r="O130" s="2" t="s">
        <v>490</v>
      </c>
      <c r="P130" t="b">
        <v>0</v>
      </c>
    </row>
    <row r="131" spans="1:16" x14ac:dyDescent="0.25">
      <c r="A131" s="6">
        <v>126</v>
      </c>
      <c r="B131" s="6" t="b">
        <v>0</v>
      </c>
      <c r="C131" t="str">
        <f>_xlfn.LET(
_xlpm.FamilyName,IF(F131="","",F131)&amp;IF(G131="",""," "&amp;G131)&amp;IF(H131="",""," "&amp;H131),
_xlpm.MarriedName,IF(F131="","",F131)&amp;IF(G131="",""," "&amp;G131)&amp;IF(I131="",""," "&amp;I131)&amp;IF(H131="",""," "&amp;"("&amp;H131)&amp;")",
TRIM(IF(Index_of_People[[#This Row],[Prefer NickName]]=TRUE,Index_of_People[[#This Row],[Nick Names]],
IF(I131&lt;&gt;"",_xlpm.MarriedName,_xlpm.FamilyName))))</f>
        <v>Gord Smith</v>
      </c>
      <c r="D131" t="b">
        <v>1</v>
      </c>
      <c r="F131" t="s">
        <v>133</v>
      </c>
      <c r="H131" t="s">
        <v>17</v>
      </c>
      <c r="J131"/>
      <c r="K131" t="str">
        <f>IF(Index_of_People[[#This Row],[SpouseID]]="","",IFERROR(INDEX(Index_of_People[Metadata Name],MATCH(Index_of_People[[#This Row],[SpouseID]],Index_of_People[NameID],0)),""))</f>
        <v/>
      </c>
      <c r="L131" s="6"/>
      <c r="M131" s="2" t="s">
        <v>490</v>
      </c>
      <c r="N131" s="2" t="s">
        <v>490</v>
      </c>
      <c r="O131" s="2" t="s">
        <v>490</v>
      </c>
      <c r="P131" t="b">
        <v>0</v>
      </c>
    </row>
    <row r="132" spans="1:16" x14ac:dyDescent="0.25">
      <c r="A132" s="6">
        <v>127</v>
      </c>
      <c r="B132" s="6" t="b">
        <v>0</v>
      </c>
      <c r="C132" t="str">
        <f>_xlfn.LET(
_xlpm.FamilyName,IF(F132="","",F132)&amp;IF(G132="",""," "&amp;G132)&amp;IF(H132="",""," "&amp;H132),
_xlpm.MarriedName,IF(F132="","",F132)&amp;IF(G132="",""," "&amp;G132)&amp;IF(I132="",""," "&amp;I132)&amp;IF(H132="",""," "&amp;"("&amp;H132)&amp;")",
TRIM(IF(Index_of_People[[#This Row],[Prefer NickName]]=TRUE,Index_of_People[[#This Row],[Nick Names]],
IF(I132&lt;&gt;"",_xlpm.MarriedName,_xlpm.FamilyName))))</f>
        <v>Gordon Campbell</v>
      </c>
      <c r="D132" t="b">
        <v>1</v>
      </c>
      <c r="F132" t="s">
        <v>6</v>
      </c>
      <c r="G132" t="s">
        <v>490</v>
      </c>
      <c r="H132" t="s">
        <v>352</v>
      </c>
      <c r="I132" t="s">
        <v>490</v>
      </c>
      <c r="J132" t="s">
        <v>490</v>
      </c>
      <c r="K132" t="str">
        <f>IF(Index_of_People[[#This Row],[SpouseID]]="","",IFERROR(INDEX(Index_of_People[Metadata Name],MATCH(Index_of_People[[#This Row],[SpouseID]],Index_of_People[NameID],0)),""))</f>
        <v/>
      </c>
      <c r="L132" s="6"/>
      <c r="M132" s="2" t="s">
        <v>490</v>
      </c>
      <c r="N132" s="2" t="s">
        <v>490</v>
      </c>
      <c r="O132" s="2" t="s">
        <v>490</v>
      </c>
      <c r="P132" t="b">
        <v>0</v>
      </c>
    </row>
    <row r="133" spans="1:16" x14ac:dyDescent="0.25">
      <c r="A133" s="6">
        <v>128</v>
      </c>
      <c r="B133" s="6" t="b">
        <v>0</v>
      </c>
      <c r="C133" t="str">
        <f>_xlfn.LET(
_xlpm.FamilyName,IF(F133="","",F133)&amp;IF(G133="",""," "&amp;G133)&amp;IF(H133="",""," "&amp;H133),
_xlpm.MarriedName,IF(F133="","",F133)&amp;IF(G133="",""," "&amp;G133)&amp;IF(I133="",""," "&amp;I133)&amp;IF(H133="",""," "&amp;"("&amp;H133)&amp;")",
TRIM(IF(Index_of_People[[#This Row],[Prefer NickName]]=TRUE,Index_of_People[[#This Row],[Nick Names]],
IF(I133&lt;&gt;"",_xlpm.MarriedName,_xlpm.FamilyName))))</f>
        <v>Graham</v>
      </c>
      <c r="D133" t="b">
        <v>1</v>
      </c>
      <c r="F133" t="s">
        <v>10</v>
      </c>
      <c r="J133"/>
      <c r="K133" t="str">
        <f>IF(Index_of_People[[#This Row],[SpouseID]]="","",IFERROR(INDEX(Index_of_People[Metadata Name],MATCH(Index_of_People[[#This Row],[SpouseID]],Index_of_People[NameID],0)),""))</f>
        <v/>
      </c>
      <c r="L133" s="6"/>
      <c r="M133" s="2" t="s">
        <v>490</v>
      </c>
      <c r="N133" s="2" t="s">
        <v>490</v>
      </c>
      <c r="O133" s="2" t="s">
        <v>490</v>
      </c>
      <c r="P133" t="b">
        <v>0</v>
      </c>
    </row>
    <row r="134" spans="1:16" x14ac:dyDescent="0.25">
      <c r="A134" s="6">
        <v>129</v>
      </c>
      <c r="B134" s="6" t="b">
        <v>0</v>
      </c>
      <c r="C134" t="str">
        <f>_xlfn.LET(
_xlpm.FamilyName,IF(F134="","",F134)&amp;IF(G134="",""," "&amp;G134)&amp;IF(H134="",""," "&amp;H134),
_xlpm.MarriedName,IF(F134="","",F134)&amp;IF(G134="",""," "&amp;G134)&amp;IF(I134="",""," "&amp;I134)&amp;IF(H134="",""," "&amp;"("&amp;H134)&amp;")",
TRIM(IF(Index_of_People[[#This Row],[Prefer NickName]]=TRUE,Index_of_People[[#This Row],[Nick Names]],
IF(I134&lt;&gt;"",_xlpm.MarriedName,_xlpm.FamilyName))))</f>
        <v>Grant Campbell</v>
      </c>
      <c r="D134" t="b">
        <v>1</v>
      </c>
      <c r="F134" t="s">
        <v>134</v>
      </c>
      <c r="G134" t="s">
        <v>490</v>
      </c>
      <c r="H134" t="s">
        <v>352</v>
      </c>
      <c r="I134" t="s">
        <v>490</v>
      </c>
      <c r="J134" t="s">
        <v>490</v>
      </c>
      <c r="K134" t="str">
        <f>IF(Index_of_People[[#This Row],[SpouseID]]="","",IFERROR(INDEX(Index_of_People[Metadata Name],MATCH(Index_of_People[[#This Row],[SpouseID]],Index_of_People[NameID],0)),""))</f>
        <v/>
      </c>
      <c r="L134" s="6"/>
      <c r="M134" s="2" t="s">
        <v>490</v>
      </c>
      <c r="N134" s="2" t="s">
        <v>490</v>
      </c>
      <c r="O134" s="2" t="s">
        <v>490</v>
      </c>
      <c r="P134" t="b">
        <v>0</v>
      </c>
    </row>
    <row r="135" spans="1:16" x14ac:dyDescent="0.25">
      <c r="A135" s="6">
        <v>130</v>
      </c>
      <c r="B135" s="6" t="b">
        <v>0</v>
      </c>
      <c r="C135" t="str">
        <f>_xlfn.LET(
_xlpm.FamilyName,IF(F135="","",F135)&amp;IF(G135="",""," "&amp;G135)&amp;IF(H135="",""," "&amp;H135),
_xlpm.MarriedName,IF(F135="","",F135)&amp;IF(G135="",""," "&amp;G135)&amp;IF(I135="",""," "&amp;I135)&amp;IF(H135="",""," "&amp;"("&amp;H135)&amp;")",
TRIM(IF(Index_of_People[[#This Row],[Prefer NickName]]=TRUE,Index_of_People[[#This Row],[Nick Names]],
IF(I135&lt;&gt;"",_xlpm.MarriedName,_xlpm.FamilyName))))</f>
        <v>Hank</v>
      </c>
      <c r="D135" t="b">
        <v>1</v>
      </c>
      <c r="F135" t="s">
        <v>23</v>
      </c>
      <c r="J135"/>
      <c r="K135" t="str">
        <f>IF(Index_of_People[[#This Row],[SpouseID]]="","",IFERROR(INDEX(Index_of_People[Metadata Name],MATCH(Index_of_People[[#This Row],[SpouseID]],Index_of_People[NameID],0)),""))</f>
        <v/>
      </c>
      <c r="L135" s="6"/>
      <c r="M135" s="2" t="s">
        <v>490</v>
      </c>
      <c r="N135" s="2" t="s">
        <v>490</v>
      </c>
      <c r="O135" s="2" t="s">
        <v>490</v>
      </c>
      <c r="P135" t="b">
        <v>0</v>
      </c>
    </row>
    <row r="136" spans="1:16" x14ac:dyDescent="0.25">
      <c r="A136" s="6">
        <v>131</v>
      </c>
      <c r="B136" s="6" t="b">
        <v>1</v>
      </c>
      <c r="C136" t="str">
        <f>_xlfn.LET(
_xlpm.FamilyName,IF(F136="","",F136)&amp;IF(G136="",""," "&amp;G136)&amp;IF(H136="",""," "&amp;H136),
_xlpm.MarriedName,IF(F136="","",F136)&amp;IF(G136="",""," "&amp;G136)&amp;IF(I136="",""," "&amp;I136)&amp;IF(H136="",""," "&amp;"("&amp;H136)&amp;")",
TRIM(IF(Index_of_People[[#This Row],[Prefer NickName]]=TRUE,Index_of_People[[#This Row],[Nick Names]],
IF(I136&lt;&gt;"",_xlpm.MarriedName,_xlpm.FamilyName))))</f>
        <v>Hansel William Patten (Barker)</v>
      </c>
      <c r="D136" t="b">
        <v>1</v>
      </c>
      <c r="F136" t="s">
        <v>258</v>
      </c>
      <c r="G136" t="s">
        <v>233</v>
      </c>
      <c r="H136" t="s">
        <v>312</v>
      </c>
      <c r="I136" t="s">
        <v>359</v>
      </c>
      <c r="J136" t="s">
        <v>1329</v>
      </c>
      <c r="K136" t="str">
        <f>IF(Index_of_People[[#This Row],[SpouseID]]="","",IFERROR(INDEX(Index_of_People[Metadata Name],MATCH(Index_of_People[[#This Row],[SpouseID]],Index_of_People[NameID],0)),""))</f>
        <v>Elsie Mae Barker (Carey)</v>
      </c>
      <c r="L136" s="6">
        <v>105</v>
      </c>
      <c r="M136" s="2">
        <v>5757</v>
      </c>
      <c r="N136" s="2">
        <v>14870</v>
      </c>
      <c r="O136" s="2">
        <v>34900</v>
      </c>
      <c r="P136" t="b">
        <v>1</v>
      </c>
    </row>
    <row r="137" spans="1:16" x14ac:dyDescent="0.25">
      <c r="A137" s="6">
        <v>132</v>
      </c>
      <c r="B137" s="6" t="b">
        <v>0</v>
      </c>
      <c r="C137" t="str">
        <f>_xlfn.LET(
_xlpm.FamilyName,IF(F137="","",F137)&amp;IF(G137="",""," "&amp;G137)&amp;IF(H137="",""," "&amp;H137),
_xlpm.MarriedName,IF(F137="","",F137)&amp;IF(G137="",""," "&amp;G137)&amp;IF(I137="",""," "&amp;I137)&amp;IF(H137="",""," "&amp;"("&amp;H137)&amp;")",
TRIM(IF(Index_of_People[[#This Row],[Prefer NickName]]=TRUE,Index_of_People[[#This Row],[Nick Names]],
IF(I137&lt;&gt;"",_xlpm.MarriedName,_xlpm.FamilyName))))</f>
        <v>Harry</v>
      </c>
      <c r="D137" t="b">
        <v>1</v>
      </c>
      <c r="F137" t="s">
        <v>49</v>
      </c>
      <c r="J137"/>
      <c r="K137" t="str">
        <f>IF(Index_of_People[[#This Row],[SpouseID]]="","",IFERROR(INDEX(Index_of_People[Metadata Name],MATCH(Index_of_People[[#This Row],[SpouseID]],Index_of_People[NameID],0)),""))</f>
        <v/>
      </c>
      <c r="L137" s="6"/>
      <c r="M137" s="2" t="s">
        <v>490</v>
      </c>
      <c r="N137" s="2" t="s">
        <v>490</v>
      </c>
      <c r="O137" s="2" t="s">
        <v>490</v>
      </c>
      <c r="P137" t="b">
        <v>0</v>
      </c>
    </row>
    <row r="138" spans="1:16" x14ac:dyDescent="0.25">
      <c r="A138" s="6">
        <v>133</v>
      </c>
      <c r="B138" s="6" t="b">
        <v>0</v>
      </c>
      <c r="C138" t="str">
        <f>_xlfn.LET(
_xlpm.FamilyName,IF(F138="","",F138)&amp;IF(G138="",""," "&amp;G138)&amp;IF(H138="",""," "&amp;H138),
_xlpm.MarriedName,IF(F138="","",F138)&amp;IF(G138="",""," "&amp;G138)&amp;IF(I138="",""," "&amp;I138)&amp;IF(H138="",""," "&amp;"("&amp;H138)&amp;")",
TRIM(IF(Index_of_People[[#This Row],[Prefer NickName]]=TRUE,Index_of_People[[#This Row],[Nick Names]],
IF(I138&lt;&gt;"",_xlpm.MarriedName,_xlpm.FamilyName))))</f>
        <v>Heidi Katharina Greenwood (Enns)</v>
      </c>
      <c r="D138" t="b">
        <v>1</v>
      </c>
      <c r="F138" t="s">
        <v>259</v>
      </c>
      <c r="G138" t="s">
        <v>360</v>
      </c>
      <c r="H138" t="s">
        <v>304</v>
      </c>
      <c r="I138" t="s">
        <v>0</v>
      </c>
      <c r="J138"/>
      <c r="K138" t="str">
        <f>IF(Index_of_People[[#This Row],[SpouseID]]="","",IFERROR(INDEX(Index_of_People[Metadata Name],MATCH(Index_of_People[[#This Row],[SpouseID]],Index_of_People[NameID],0)),""))</f>
        <v/>
      </c>
      <c r="L138" s="6"/>
      <c r="M138" s="2" t="s">
        <v>490</v>
      </c>
      <c r="N138" s="2" t="s">
        <v>490</v>
      </c>
      <c r="O138" s="2" t="s">
        <v>490</v>
      </c>
      <c r="P138" t="b">
        <v>1</v>
      </c>
    </row>
    <row r="139" spans="1:16" x14ac:dyDescent="0.25">
      <c r="A139" s="6">
        <v>134</v>
      </c>
      <c r="B139" s="6" t="b">
        <v>0</v>
      </c>
      <c r="C139" t="str">
        <f>_xlfn.LET(
_xlpm.FamilyName,IF(F139="","",F139)&amp;IF(G139="",""," "&amp;G139)&amp;IF(H139="",""," "&amp;H139),
_xlpm.MarriedName,IF(F139="","",F139)&amp;IF(G139="",""," "&amp;G139)&amp;IF(I139="",""," "&amp;I139)&amp;IF(H139="",""," "&amp;"("&amp;H139)&amp;")",
TRIM(IF(Index_of_People[[#This Row],[Prefer NickName]]=TRUE,Index_of_People[[#This Row],[Nick Names]],
IF(I139&lt;&gt;"",_xlpm.MarriedName,_xlpm.FamilyName))))</f>
        <v>Helen Schnabel</v>
      </c>
      <c r="D139" t="b">
        <v>1</v>
      </c>
      <c r="F139" t="s">
        <v>135</v>
      </c>
      <c r="H139" t="s">
        <v>354</v>
      </c>
      <c r="J139"/>
      <c r="K139" t="str">
        <f>IF(Index_of_People[[#This Row],[SpouseID]]="","",IFERROR(INDEX(Index_of_People[Metadata Name],MATCH(Index_of_People[[#This Row],[SpouseID]],Index_of_People[NameID],0)),""))</f>
        <v/>
      </c>
      <c r="L139" s="6"/>
      <c r="M139" s="2" t="s">
        <v>490</v>
      </c>
      <c r="N139" s="2" t="s">
        <v>490</v>
      </c>
      <c r="O139" s="2" t="s">
        <v>490</v>
      </c>
      <c r="P139" t="b">
        <v>0</v>
      </c>
    </row>
    <row r="140" spans="1:16" x14ac:dyDescent="0.25">
      <c r="A140" s="6">
        <v>135</v>
      </c>
      <c r="B140" s="6" t="b">
        <v>0</v>
      </c>
      <c r="C140" t="str">
        <f>_xlfn.LET(
_xlpm.FamilyName,IF(F140="","",F140)&amp;IF(G140="",""," "&amp;G140)&amp;IF(H140="",""," "&amp;H140),
_xlpm.MarriedName,IF(F140="","",F140)&amp;IF(G140="",""," "&amp;G140)&amp;IF(I140="",""," "&amp;I140)&amp;IF(H140="",""," "&amp;"("&amp;H140)&amp;")",
TRIM(IF(Index_of_People[[#This Row],[Prefer NickName]]=TRUE,Index_of_People[[#This Row],[Nick Names]],
IF(I140&lt;&gt;"",_xlpm.MarriedName,_xlpm.FamilyName))))</f>
        <v>Henry Peter Penner</v>
      </c>
      <c r="D140" t="b">
        <v>1</v>
      </c>
      <c r="F140" t="s">
        <v>260</v>
      </c>
      <c r="G140" t="s">
        <v>194</v>
      </c>
      <c r="H140" t="s">
        <v>295</v>
      </c>
      <c r="J140"/>
      <c r="K140" t="str">
        <f>IF(Index_of_People[[#This Row],[SpouseID]]="","",IFERROR(INDEX(Index_of_People[Metadata Name],MATCH(Index_of_People[[#This Row],[SpouseID]],Index_of_People[NameID],0)),""))</f>
        <v>Diane Mae Penner (Barker)</v>
      </c>
      <c r="L140" s="6">
        <v>85</v>
      </c>
      <c r="M140" s="2">
        <v>15465</v>
      </c>
      <c r="N140" s="2">
        <v>24583</v>
      </c>
      <c r="P140" t="b">
        <v>1</v>
      </c>
    </row>
    <row r="141" spans="1:16" x14ac:dyDescent="0.25">
      <c r="A141" s="6">
        <v>136</v>
      </c>
      <c r="B141" s="6" t="b">
        <v>0</v>
      </c>
      <c r="C141" t="str">
        <f>_xlfn.LET(
_xlpm.FamilyName,IF(F141="","",F141)&amp;IF(G141="",""," "&amp;G141)&amp;IF(H141="",""," "&amp;H141),
_xlpm.MarriedName,IF(F141="","",F141)&amp;IF(G141="",""," "&amp;G141)&amp;IF(I141="",""," "&amp;I141)&amp;IF(H141="",""," "&amp;"("&amp;H141)&amp;")",
TRIM(IF(Index_of_People[[#This Row],[Prefer NickName]]=TRUE,Index_of_People[[#This Row],[Nick Names]],
IF(I141&lt;&gt;"",_xlpm.MarriedName,_xlpm.FamilyName))))</f>
        <v>Hew Padmore</v>
      </c>
      <c r="D141" t="b">
        <v>1</v>
      </c>
      <c r="F141" t="s">
        <v>136</v>
      </c>
      <c r="H141" t="s">
        <v>361</v>
      </c>
      <c r="J141"/>
      <c r="K141" t="str">
        <f>IF(Index_of_People[[#This Row],[SpouseID]]="","",IFERROR(INDEX(Index_of_People[Metadata Name],MATCH(Index_of_People[[#This Row],[SpouseID]],Index_of_People[NameID],0)),""))</f>
        <v/>
      </c>
      <c r="L141" s="6"/>
      <c r="M141" s="2" t="s">
        <v>490</v>
      </c>
      <c r="N141" s="2" t="s">
        <v>490</v>
      </c>
      <c r="O141" s="2" t="s">
        <v>490</v>
      </c>
      <c r="P141" t="b">
        <v>0</v>
      </c>
    </row>
    <row r="142" spans="1:16" x14ac:dyDescent="0.25">
      <c r="A142" s="6">
        <v>137</v>
      </c>
      <c r="B142" s="6" t="b">
        <v>0</v>
      </c>
      <c r="C142" t="str">
        <f>_xlfn.LET(
_xlpm.FamilyName,IF(F142="","",F142)&amp;IF(G142="",""," "&amp;G142)&amp;IF(H142="",""," "&amp;H142),
_xlpm.MarriedName,IF(F142="","",F142)&amp;IF(G142="",""," "&amp;G142)&amp;IF(I142="",""," "&amp;I142)&amp;IF(H142="",""," "&amp;"("&amp;H142)&amp;")",
TRIM(IF(Index_of_People[[#This Row],[Prefer NickName]]=TRUE,Index_of_People[[#This Row],[Nick Names]],
IF(I142&lt;&gt;"",_xlpm.MarriedName,_xlpm.FamilyName))))</f>
        <v>Hillary Warren</v>
      </c>
      <c r="D142" t="b">
        <v>1</v>
      </c>
      <c r="F142" t="s">
        <v>137</v>
      </c>
      <c r="H142" t="s">
        <v>362</v>
      </c>
      <c r="J142"/>
      <c r="K142" t="str">
        <f>IF(Index_of_People[[#This Row],[SpouseID]]="","",IFERROR(INDEX(Index_of_People[Metadata Name],MATCH(Index_of_People[[#This Row],[SpouseID]],Index_of_People[NameID],0)),""))</f>
        <v/>
      </c>
      <c r="L142" s="6"/>
      <c r="M142" s="2" t="s">
        <v>490</v>
      </c>
      <c r="N142" s="2" t="s">
        <v>490</v>
      </c>
      <c r="O142" s="2" t="s">
        <v>490</v>
      </c>
      <c r="P142" t="b">
        <v>0</v>
      </c>
    </row>
    <row r="143" spans="1:16" x14ac:dyDescent="0.25">
      <c r="A143" s="6">
        <v>138</v>
      </c>
      <c r="B143" s="6" t="b">
        <v>0</v>
      </c>
      <c r="C143" t="str">
        <f>_xlfn.LET(
_xlpm.FamilyName,IF(F143="","",F143)&amp;IF(G143="",""," "&amp;G143)&amp;IF(H143="",""," "&amp;H143),
_xlpm.MarriedName,IF(F143="","",F143)&amp;IF(G143="",""," "&amp;G143)&amp;IF(I143="",""," "&amp;I143)&amp;IF(H143="",""," "&amp;"("&amp;H143)&amp;")",
TRIM(IF(Index_of_People[[#This Row],[Prefer NickName]]=TRUE,Index_of_People[[#This Row],[Nick Names]],
IF(I143&lt;&gt;"",_xlpm.MarriedName,_xlpm.FamilyName))))</f>
        <v>Hugh Padmore</v>
      </c>
      <c r="D143" t="b">
        <v>1</v>
      </c>
      <c r="F143" t="s">
        <v>138</v>
      </c>
      <c r="H143" t="s">
        <v>361</v>
      </c>
      <c r="J143"/>
      <c r="K143" t="str">
        <f>IF(Index_of_People[[#This Row],[SpouseID]]="","",IFERROR(INDEX(Index_of_People[Metadata Name],MATCH(Index_of_People[[#This Row],[SpouseID]],Index_of_People[NameID],0)),""))</f>
        <v/>
      </c>
      <c r="L143" s="6"/>
      <c r="M143" s="2" t="s">
        <v>490</v>
      </c>
      <c r="N143" s="2" t="s">
        <v>490</v>
      </c>
      <c r="O143" s="2" t="s">
        <v>490</v>
      </c>
      <c r="P143" t="b">
        <v>0</v>
      </c>
    </row>
    <row r="144" spans="1:16" x14ac:dyDescent="0.25">
      <c r="A144" s="6">
        <v>139</v>
      </c>
      <c r="B144" s="6" t="b">
        <v>0</v>
      </c>
      <c r="C144" t="str">
        <f>_xlfn.LET(
_xlpm.FamilyName,IF(F144="","",F144)&amp;IF(G144="",""," "&amp;G144)&amp;IF(H144="",""," "&amp;H144),
_xlpm.MarriedName,IF(F144="","",F144)&amp;IF(G144="",""," "&amp;G144)&amp;IF(I144="",""," "&amp;I144)&amp;IF(H144="",""," "&amp;"("&amp;H144)&amp;")",
TRIM(IF(Index_of_People[[#This Row],[Prefer NickName]]=TRUE,Index_of_People[[#This Row],[Nick Names]],
IF(I144&lt;&gt;"",_xlpm.MarriedName,_xlpm.FamilyName))))</f>
        <v>Ian Pilkington</v>
      </c>
      <c r="D144" t="b">
        <v>1</v>
      </c>
      <c r="F144" t="s">
        <v>139</v>
      </c>
      <c r="H144" t="s">
        <v>363</v>
      </c>
      <c r="J144"/>
      <c r="K144" t="str">
        <f>IF(Index_of_People[[#This Row],[SpouseID]]="","",IFERROR(INDEX(Index_of_People[Metadata Name],MATCH(Index_of_People[[#This Row],[SpouseID]],Index_of_People[NameID],0)),""))</f>
        <v/>
      </c>
      <c r="L144" s="6"/>
      <c r="M144" s="2" t="s">
        <v>490</v>
      </c>
      <c r="N144" s="2" t="s">
        <v>490</v>
      </c>
      <c r="O144" s="2" t="s">
        <v>490</v>
      </c>
      <c r="P144" t="b">
        <v>0</v>
      </c>
    </row>
    <row r="145" spans="1:16" x14ac:dyDescent="0.25">
      <c r="A145" s="6">
        <v>140</v>
      </c>
      <c r="B145" s="6" t="b">
        <v>0</v>
      </c>
      <c r="C145" t="str">
        <f>_xlfn.LET(
_xlpm.FamilyName,IF(F145="","",F145)&amp;IF(G145="",""," "&amp;G145)&amp;IF(H145="",""," "&amp;H145),
_xlpm.MarriedName,IF(F145="","",F145)&amp;IF(G145="",""," "&amp;G145)&amp;IF(I145="",""," "&amp;I145)&amp;IF(H145="",""," "&amp;"("&amp;H145)&amp;")",
TRIM(IF(Index_of_People[[#This Row],[Prefer NickName]]=TRUE,Index_of_People[[#This Row],[Nick Names]],
IF(I145&lt;&gt;"",_xlpm.MarriedName,_xlpm.FamilyName))))</f>
        <v>Ian Topic</v>
      </c>
      <c r="D145" t="b">
        <v>1</v>
      </c>
      <c r="F145" t="s">
        <v>139</v>
      </c>
      <c r="H145" t="s">
        <v>364</v>
      </c>
      <c r="J145"/>
      <c r="K145" t="str">
        <f>IF(Index_of_People[[#This Row],[SpouseID]]="","",IFERROR(INDEX(Index_of_People[Metadata Name],MATCH(Index_of_People[[#This Row],[SpouseID]],Index_of_People[NameID],0)),""))</f>
        <v/>
      </c>
      <c r="L145" s="6"/>
      <c r="M145" s="2" t="s">
        <v>490</v>
      </c>
      <c r="N145" s="2" t="s">
        <v>490</v>
      </c>
      <c r="O145" s="2" t="s">
        <v>490</v>
      </c>
      <c r="P145" t="b">
        <v>0</v>
      </c>
    </row>
    <row r="146" spans="1:16" x14ac:dyDescent="0.25">
      <c r="A146" s="6">
        <v>141</v>
      </c>
      <c r="B146" s="6" t="b">
        <v>0</v>
      </c>
      <c r="C146" t="str">
        <f>_xlfn.LET(
_xlpm.FamilyName,IF(F146="","",F146)&amp;IF(G146="",""," "&amp;G146)&amp;IF(H146="",""," "&amp;H146),
_xlpm.MarriedName,IF(F146="","",F146)&amp;IF(G146="",""," "&amp;G146)&amp;IF(I146="",""," "&amp;I146)&amp;IF(H146="",""," "&amp;"("&amp;H146)&amp;")",
TRIM(IF(Index_of_People[[#This Row],[Prefer NickName]]=TRUE,Index_of_People[[#This Row],[Nick Names]],
IF(I146&lt;&gt;"",_xlpm.MarriedName,_xlpm.FamilyName))))</f>
        <v>Irma Helen Penner</v>
      </c>
      <c r="D146" t="b">
        <v>1</v>
      </c>
      <c r="F146" t="s">
        <v>261</v>
      </c>
      <c r="G146" t="s">
        <v>135</v>
      </c>
      <c r="H146" t="s">
        <v>295</v>
      </c>
      <c r="J146"/>
      <c r="K146" t="str">
        <f>IF(Index_of_People[[#This Row],[SpouseID]]="","",IFERROR(INDEX(Index_of_People[Metadata Name],MATCH(Index_of_People[[#This Row],[SpouseID]],Index_of_People[NameID],0)),""))</f>
        <v/>
      </c>
      <c r="L146" s="6"/>
      <c r="M146" s="2">
        <v>12667</v>
      </c>
      <c r="P146" t="b">
        <v>1</v>
      </c>
    </row>
    <row r="147" spans="1:16" x14ac:dyDescent="0.25">
      <c r="A147" s="6">
        <v>142</v>
      </c>
      <c r="B147" s="6" t="b">
        <v>0</v>
      </c>
      <c r="C147" t="str">
        <f>_xlfn.LET(
_xlpm.FamilyName,IF(F147="","",F147)&amp;IF(G147="",""," "&amp;G147)&amp;IF(H147="",""," "&amp;H147),
_xlpm.MarriedName,IF(F147="","",F147)&amp;IF(G147="",""," "&amp;G147)&amp;IF(I147="",""," "&amp;I147)&amp;IF(H147="",""," "&amp;"("&amp;H147)&amp;")",
TRIM(IF(Index_of_People[[#This Row],[Prefer NickName]]=TRUE,Index_of_People[[#This Row],[Nick Names]],
IF(I147&lt;&gt;"",_xlpm.MarriedName,_xlpm.FamilyName))))</f>
        <v>Jaap del Valle</v>
      </c>
      <c r="D147" t="b">
        <v>1</v>
      </c>
      <c r="F147" t="s">
        <v>262</v>
      </c>
      <c r="H147" t="s">
        <v>453</v>
      </c>
      <c r="J147"/>
      <c r="K147" t="str">
        <f>IF(Index_of_People[[#This Row],[SpouseID]]="","",IFERROR(INDEX(Index_of_People[Metadata Name],MATCH(Index_of_People[[#This Row],[SpouseID]],Index_of_People[NameID],0)),""))</f>
        <v/>
      </c>
      <c r="L147" s="6"/>
      <c r="M147" s="2" t="s">
        <v>490</v>
      </c>
      <c r="N147" s="2" t="s">
        <v>490</v>
      </c>
      <c r="O147" s="2" t="s">
        <v>490</v>
      </c>
      <c r="P147" t="b">
        <v>1</v>
      </c>
    </row>
    <row r="148" spans="1:16" x14ac:dyDescent="0.25">
      <c r="A148" s="6">
        <v>143</v>
      </c>
      <c r="B148" s="6" t="b">
        <v>0</v>
      </c>
      <c r="C148" t="str">
        <f>_xlfn.LET(
_xlpm.FamilyName,IF(F148="","",F148)&amp;IF(G148="",""," "&amp;G148)&amp;IF(H148="",""," "&amp;H148),
_xlpm.MarriedName,IF(F148="","",F148)&amp;IF(G148="",""," "&amp;G148)&amp;IF(I148="",""," "&amp;I148)&amp;IF(H148="",""," "&amp;"("&amp;H148)&amp;")",
TRIM(IF(Index_of_People[[#This Row],[Prefer NickName]]=TRUE,Index_of_People[[#This Row],[Nick Names]],
IF(I148&lt;&gt;"",_xlpm.MarriedName,_xlpm.FamilyName))))</f>
        <v>Jack Chapman</v>
      </c>
      <c r="D148" t="b">
        <v>1</v>
      </c>
      <c r="F148" t="s">
        <v>1202</v>
      </c>
      <c r="H148" t="s">
        <v>372</v>
      </c>
      <c r="J148"/>
      <c r="K148" t="str">
        <f>IF(Index_of_People[[#This Row],[SpouseID]]="","",IFERROR(INDEX(Index_of_People[Metadata Name],MATCH(Index_of_People[[#This Row],[SpouseID]],Index_of_People[NameID],0)),""))</f>
        <v>Joan Chapman (Carey)</v>
      </c>
      <c r="L148" s="6">
        <v>167</v>
      </c>
      <c r="P148" t="b">
        <v>1</v>
      </c>
    </row>
    <row r="149" spans="1:16" x14ac:dyDescent="0.25">
      <c r="A149" s="6">
        <v>144</v>
      </c>
      <c r="B149" s="6" t="b">
        <v>0</v>
      </c>
      <c r="C149" t="str">
        <f>_xlfn.LET(
_xlpm.FamilyName,IF(F149="","",F149)&amp;IF(G149="",""," "&amp;G149)&amp;IF(H149="",""," "&amp;H149),
_xlpm.MarriedName,IF(F149="","",F149)&amp;IF(G149="",""," "&amp;G149)&amp;IF(I149="",""," "&amp;I149)&amp;IF(H149="",""," "&amp;"("&amp;H149)&amp;")",
TRIM(IF(Index_of_People[[#This Row],[Prefer NickName]]=TRUE,Index_of_People[[#This Row],[Nick Names]],
IF(I149&lt;&gt;"",_xlpm.MarriedName,_xlpm.FamilyName))))</f>
        <v>James</v>
      </c>
      <c r="D149" t="b">
        <v>0</v>
      </c>
      <c r="F149" t="s">
        <v>50</v>
      </c>
      <c r="J149"/>
      <c r="K149" t="str">
        <f>IF(Index_of_People[[#This Row],[SpouseID]]="","",IFERROR(INDEX(Index_of_People[Metadata Name],MATCH(Index_of_People[[#This Row],[SpouseID]],Index_of_People[NameID],0)),""))</f>
        <v/>
      </c>
      <c r="L149" s="6"/>
      <c r="M149" s="2" t="s">
        <v>490</v>
      </c>
      <c r="N149" s="2" t="s">
        <v>490</v>
      </c>
      <c r="O149" s="2" t="s">
        <v>490</v>
      </c>
      <c r="P149" t="b">
        <v>0</v>
      </c>
    </row>
    <row r="150" spans="1:16" x14ac:dyDescent="0.25">
      <c r="A150" s="6">
        <v>145</v>
      </c>
      <c r="B150" s="6" t="b">
        <v>0</v>
      </c>
      <c r="C150" t="str">
        <f>_xlfn.LET(
_xlpm.FamilyName,IF(F150="","",F150)&amp;IF(G150="",""," "&amp;G150)&amp;IF(H150="",""," "&amp;H150),
_xlpm.MarriedName,IF(F150="","",F150)&amp;IF(G150="",""," "&amp;G150)&amp;IF(I150="",""," "&amp;I150)&amp;IF(H150="",""," "&amp;"("&amp;H150)&amp;")",
TRIM(IF(Index_of_People[[#This Row],[Prefer NickName]]=TRUE,Index_of_People[[#This Row],[Nick Names]],
IF(I150&lt;&gt;"",_xlpm.MarriedName,_xlpm.FamilyName))))</f>
        <v>James McKenzie</v>
      </c>
      <c r="D150" t="b">
        <v>1</v>
      </c>
      <c r="F150" t="s">
        <v>50</v>
      </c>
      <c r="H150" t="s">
        <v>365</v>
      </c>
      <c r="J150"/>
      <c r="K150" t="str">
        <f>IF(Index_of_People[[#This Row],[SpouseID]]="","",IFERROR(INDEX(Index_of_People[Metadata Name],MATCH(Index_of_People[[#This Row],[SpouseID]],Index_of_People[NameID],0)),""))</f>
        <v/>
      </c>
      <c r="L150" s="6"/>
      <c r="M150" s="2" t="s">
        <v>490</v>
      </c>
      <c r="N150" s="2" t="s">
        <v>490</v>
      </c>
      <c r="O150" s="2" t="s">
        <v>490</v>
      </c>
      <c r="P150" t="b">
        <v>0</v>
      </c>
    </row>
    <row r="151" spans="1:16" x14ac:dyDescent="0.25">
      <c r="A151" s="6">
        <v>146</v>
      </c>
      <c r="B151" s="6" t="b">
        <v>0</v>
      </c>
      <c r="C151" t="str">
        <f>_xlfn.LET(
_xlpm.FamilyName,IF(F151="","",F151)&amp;IF(G151="",""," "&amp;G151)&amp;IF(H151="",""," "&amp;H151),
_xlpm.MarriedName,IF(F151="","",F151)&amp;IF(G151="",""," "&amp;G151)&amp;IF(I151="",""," "&amp;I151)&amp;IF(H151="",""," "&amp;"("&amp;H151)&amp;")",
TRIM(IF(Index_of_People[[#This Row],[Prefer NickName]]=TRUE,Index_of_People[[#This Row],[Nick Names]],
IF(I151&lt;&gt;"",_xlpm.MarriedName,_xlpm.FamilyName))))</f>
        <v>James Peter Penner</v>
      </c>
      <c r="D151" t="b">
        <v>1</v>
      </c>
      <c r="F151" t="s">
        <v>50</v>
      </c>
      <c r="G151" t="s">
        <v>194</v>
      </c>
      <c r="H151" t="s">
        <v>295</v>
      </c>
      <c r="J151"/>
      <c r="K151" t="str">
        <f>IF(Index_of_People[[#This Row],[SpouseID]]="","",IFERROR(INDEX(Index_of_People[Metadata Name],MATCH(Index_of_People[[#This Row],[SpouseID]],Index_of_People[NameID],0)),""))</f>
        <v>Samantha Claire Blackstone</v>
      </c>
      <c r="L151" s="6">
        <v>302</v>
      </c>
      <c r="M151" s="2">
        <v>27982</v>
      </c>
      <c r="N151" s="2">
        <v>40355</v>
      </c>
      <c r="P151" t="b">
        <v>1</v>
      </c>
    </row>
    <row r="152" spans="1:16" x14ac:dyDescent="0.25">
      <c r="A152" s="6">
        <v>147</v>
      </c>
      <c r="B152" s="6" t="b">
        <v>0</v>
      </c>
      <c r="C152" t="str">
        <f>_xlfn.LET(
_xlpm.FamilyName,IF(F152="","",F152)&amp;IF(G152="",""," "&amp;G152)&amp;IF(H152="",""," "&amp;H152),
_xlpm.MarriedName,IF(F152="","",F152)&amp;IF(G152="",""," "&amp;G152)&amp;IF(I152="",""," "&amp;I152)&amp;IF(H152="",""," "&amp;"("&amp;H152)&amp;")",
TRIM(IF(Index_of_People[[#This Row],[Prefer NickName]]=TRUE,Index_of_People[[#This Row],[Nick Names]],
IF(I152&lt;&gt;"",_xlpm.MarriedName,_xlpm.FamilyName))))</f>
        <v>James Wigginton</v>
      </c>
      <c r="D152" t="b">
        <v>1</v>
      </c>
      <c r="F152" t="s">
        <v>50</v>
      </c>
      <c r="H152" t="s">
        <v>366</v>
      </c>
      <c r="J152"/>
      <c r="K152" t="str">
        <f>IF(Index_of_People[[#This Row],[SpouseID]]="","",IFERROR(INDEX(Index_of_People[Metadata Name],MATCH(Index_of_People[[#This Row],[SpouseID]],Index_of_People[NameID],0)),""))</f>
        <v/>
      </c>
      <c r="L152" s="6"/>
      <c r="M152" s="2" t="s">
        <v>490</v>
      </c>
      <c r="N152" s="2" t="s">
        <v>490</v>
      </c>
      <c r="O152" s="2" t="s">
        <v>490</v>
      </c>
      <c r="P152" t="b">
        <v>0</v>
      </c>
    </row>
    <row r="153" spans="1:16" x14ac:dyDescent="0.25">
      <c r="A153" s="6">
        <v>148</v>
      </c>
      <c r="B153" s="6" t="b">
        <v>0</v>
      </c>
      <c r="C153" t="str">
        <f>_xlfn.LET(
_xlpm.FamilyName,IF(F153="","",F153)&amp;IF(G153="",""," "&amp;G153)&amp;IF(H153="",""," "&amp;H153),
_xlpm.MarriedName,IF(F153="","",F153)&amp;IF(G153="",""," "&amp;G153)&amp;IF(I153="",""," "&amp;I153)&amp;IF(H153="",""," "&amp;"("&amp;H153)&amp;")",
TRIM(IF(Index_of_People[[#This Row],[Prefer NickName]]=TRUE,Index_of_People[[#This Row],[Nick Names]],
IF(I153&lt;&gt;"",_xlpm.MarriedName,_xlpm.FamilyName))))</f>
        <v>Jamie Sandberg</v>
      </c>
      <c r="D153" t="b">
        <v>1</v>
      </c>
      <c r="F153" t="s">
        <v>140</v>
      </c>
      <c r="H153" t="s">
        <v>297</v>
      </c>
      <c r="J153"/>
      <c r="K153" t="str">
        <f>IF(Index_of_People[[#This Row],[SpouseID]]="","",IFERROR(INDEX(Index_of_People[Metadata Name],MATCH(Index_of_People[[#This Row],[SpouseID]],Index_of_People[NameID],0)),""))</f>
        <v/>
      </c>
      <c r="L153" s="6"/>
      <c r="M153" s="2" t="s">
        <v>490</v>
      </c>
      <c r="N153" s="2" t="s">
        <v>490</v>
      </c>
      <c r="O153" s="2" t="s">
        <v>490</v>
      </c>
      <c r="P153" t="b">
        <v>0</v>
      </c>
    </row>
    <row r="154" spans="1:16" x14ac:dyDescent="0.25">
      <c r="A154" s="6">
        <v>149</v>
      </c>
      <c r="B154" s="6" t="b">
        <v>0</v>
      </c>
      <c r="C154" t="str">
        <f>_xlfn.LET(
_xlpm.FamilyName,IF(F154="","",F154)&amp;IF(G154="",""," "&amp;G154)&amp;IF(H154="",""," "&amp;H154),
_xlpm.MarriedName,IF(F154="","",F154)&amp;IF(G154="",""," "&amp;G154)&amp;IF(I154="",""," "&amp;I154)&amp;IF(H154="",""," "&amp;"("&amp;H154)&amp;")",
TRIM(IF(Index_of_People[[#This Row],[Prefer NickName]]=TRUE,Index_of_People[[#This Row],[Nick Names]],
IF(I154&lt;&gt;"",_xlpm.MarriedName,_xlpm.FamilyName))))</f>
        <v>Janice</v>
      </c>
      <c r="D154" t="b">
        <v>1</v>
      </c>
      <c r="F154" t="s">
        <v>51</v>
      </c>
      <c r="J154"/>
      <c r="K154" t="str">
        <f>IF(Index_of_People[[#This Row],[SpouseID]]="","",IFERROR(INDEX(Index_of_People[Metadata Name],MATCH(Index_of_People[[#This Row],[SpouseID]],Index_of_People[NameID],0)),""))</f>
        <v/>
      </c>
      <c r="L154" s="6"/>
      <c r="M154" s="2" t="s">
        <v>490</v>
      </c>
      <c r="N154" s="2" t="s">
        <v>490</v>
      </c>
      <c r="O154" s="2" t="s">
        <v>490</v>
      </c>
      <c r="P154" t="b">
        <v>0</v>
      </c>
    </row>
    <row r="155" spans="1:16" x14ac:dyDescent="0.25">
      <c r="A155" s="6">
        <v>150</v>
      </c>
      <c r="B155" s="6" t="b">
        <v>0</v>
      </c>
      <c r="C155" t="str">
        <f>_xlfn.LET(
_xlpm.FamilyName,IF(F155="","",F155)&amp;IF(G155="",""," "&amp;G155)&amp;IF(H155="",""," "&amp;H155),
_xlpm.MarriedName,IF(F155="","",F155)&amp;IF(G155="",""," "&amp;G155)&amp;IF(I155="",""," "&amp;I155)&amp;IF(H155="",""," "&amp;"("&amp;H155)&amp;")",
TRIM(IF(Index_of_People[[#This Row],[Prefer NickName]]=TRUE,Index_of_People[[#This Row],[Nick Names]],
IF(I155&lt;&gt;"",_xlpm.MarriedName,_xlpm.FamilyName))))</f>
        <v>Jann Boutillier</v>
      </c>
      <c r="D155" t="b">
        <v>1</v>
      </c>
      <c r="F155" t="s">
        <v>141</v>
      </c>
      <c r="G155" t="s">
        <v>490</v>
      </c>
      <c r="H155" t="s">
        <v>367</v>
      </c>
      <c r="I155" t="s">
        <v>490</v>
      </c>
      <c r="J155" t="s">
        <v>490</v>
      </c>
      <c r="K155" t="str">
        <f>IF(Index_of_People[[#This Row],[SpouseID]]="","",IFERROR(INDEX(Index_of_People[Metadata Name],MATCH(Index_of_People[[#This Row],[SpouseID]],Index_of_People[NameID],0)),""))</f>
        <v/>
      </c>
      <c r="L155" s="6"/>
      <c r="M155" s="2" t="s">
        <v>490</v>
      </c>
      <c r="N155" s="2" t="s">
        <v>490</v>
      </c>
      <c r="O155" s="2" t="s">
        <v>490</v>
      </c>
      <c r="P155" t="b">
        <v>0</v>
      </c>
    </row>
    <row r="156" spans="1:16" x14ac:dyDescent="0.25">
      <c r="A156" s="6">
        <v>151</v>
      </c>
      <c r="B156" s="6" t="b">
        <v>0</v>
      </c>
      <c r="C156" t="str">
        <f>_xlfn.LET(
_xlpm.FamilyName,IF(F156="","",F156)&amp;IF(G156="",""," "&amp;G156)&amp;IF(H156="",""," "&amp;H156),
_xlpm.MarriedName,IF(F156="","",F156)&amp;IF(G156="",""," "&amp;G156)&amp;IF(I156="",""," "&amp;I156)&amp;IF(H156="",""," "&amp;"("&amp;H156)&amp;")",
TRIM(IF(Index_of_People[[#This Row],[Prefer NickName]]=TRUE,Index_of_People[[#This Row],[Nick Names]],
IF(I156&lt;&gt;"",_xlpm.MarriedName,_xlpm.FamilyName))))</f>
        <v>Jason</v>
      </c>
      <c r="D156" t="b">
        <v>1</v>
      </c>
      <c r="F156" t="s">
        <v>25</v>
      </c>
      <c r="J156"/>
      <c r="K156" t="str">
        <f>IF(Index_of_People[[#This Row],[SpouseID]]="","",IFERROR(INDEX(Index_of_People[Metadata Name],MATCH(Index_of_People[[#This Row],[SpouseID]],Index_of_People[NameID],0)),""))</f>
        <v/>
      </c>
      <c r="L156" s="6"/>
      <c r="M156" s="2" t="s">
        <v>490</v>
      </c>
      <c r="N156" s="2" t="s">
        <v>490</v>
      </c>
      <c r="O156" s="2" t="s">
        <v>490</v>
      </c>
      <c r="P156" t="b">
        <v>0</v>
      </c>
    </row>
    <row r="157" spans="1:16" x14ac:dyDescent="0.25">
      <c r="A157" s="6">
        <v>152</v>
      </c>
      <c r="B157" s="6" t="b">
        <v>0</v>
      </c>
      <c r="C157" t="str">
        <f>_xlfn.LET(
_xlpm.FamilyName,IF(F157="","",F157)&amp;IF(G157="",""," "&amp;G157)&amp;IF(H157="",""," "&amp;H157),
_xlpm.MarriedName,IF(F157="","",F157)&amp;IF(G157="",""," "&amp;G157)&amp;IF(I157="",""," "&amp;I157)&amp;IF(H157="",""," "&amp;"("&amp;H157)&amp;")",
TRIM(IF(Index_of_People[[#This Row],[Prefer NickName]]=TRUE,Index_of_People[[#This Row],[Nick Names]],
IF(I157&lt;&gt;"",_xlpm.MarriedName,_xlpm.FamilyName))))</f>
        <v>Jason Smith</v>
      </c>
      <c r="D157" t="b">
        <v>1</v>
      </c>
      <c r="F157" t="s">
        <v>25</v>
      </c>
      <c r="H157" t="s">
        <v>17</v>
      </c>
      <c r="J157"/>
      <c r="K157" t="str">
        <f>IF(Index_of_People[[#This Row],[SpouseID]]="","",IFERROR(INDEX(Index_of_People[Metadata Name],MATCH(Index_of_People[[#This Row],[SpouseID]],Index_of_People[NameID],0)),""))</f>
        <v/>
      </c>
      <c r="L157" s="6"/>
      <c r="M157" s="2" t="s">
        <v>490</v>
      </c>
      <c r="N157" s="2" t="s">
        <v>490</v>
      </c>
      <c r="O157" s="2" t="s">
        <v>490</v>
      </c>
      <c r="P157" t="b">
        <v>0</v>
      </c>
    </row>
    <row r="158" spans="1:16" x14ac:dyDescent="0.25">
      <c r="A158" s="6">
        <v>153</v>
      </c>
      <c r="B158" s="6" t="b">
        <v>0</v>
      </c>
      <c r="C158" t="str">
        <f>_xlfn.LET(
_xlpm.FamilyName,IF(F158="","",F158)&amp;IF(G158="",""," "&amp;G158)&amp;IF(H158="",""," "&amp;H158),
_xlpm.MarriedName,IF(F158="","",F158)&amp;IF(G158="",""," "&amp;G158)&amp;IF(I158="",""," "&amp;I158)&amp;IF(H158="",""," "&amp;"("&amp;H158)&amp;")",
TRIM(IF(Index_of_People[[#This Row],[Prefer NickName]]=TRUE,Index_of_People[[#This Row],[Nick Names]],
IF(I158&lt;&gt;"",_xlpm.MarriedName,_xlpm.FamilyName))))</f>
        <v>Jason Wood</v>
      </c>
      <c r="D158" t="b">
        <v>1</v>
      </c>
      <c r="F158" t="s">
        <v>25</v>
      </c>
      <c r="H158" t="s">
        <v>368</v>
      </c>
      <c r="J158"/>
      <c r="K158" t="str">
        <f>IF(Index_of_People[[#This Row],[SpouseID]]="","",IFERROR(INDEX(Index_of_People[Metadata Name],MATCH(Index_of_People[[#This Row],[SpouseID]],Index_of_People[NameID],0)),""))</f>
        <v/>
      </c>
      <c r="L158" s="6"/>
      <c r="M158" s="2" t="s">
        <v>490</v>
      </c>
      <c r="N158" s="2" t="s">
        <v>490</v>
      </c>
      <c r="O158" s="2" t="s">
        <v>490</v>
      </c>
      <c r="P158" t="b">
        <v>0</v>
      </c>
    </row>
    <row r="159" spans="1:16" x14ac:dyDescent="0.25">
      <c r="A159" s="6">
        <v>154</v>
      </c>
      <c r="B159" s="6" t="b">
        <v>0</v>
      </c>
      <c r="C159" t="str">
        <f>_xlfn.LET(
_xlpm.FamilyName,IF(F159="","",F159)&amp;IF(G159="",""," "&amp;G159)&amp;IF(H159="",""," "&amp;H159),
_xlpm.MarriedName,IF(F159="","",F159)&amp;IF(G159="",""," "&amp;G159)&amp;IF(I159="",""," "&amp;I159)&amp;IF(H159="",""," "&amp;"("&amp;H159)&amp;")",
TRIM(IF(Index_of_People[[#This Row],[Prefer NickName]]=TRUE,Index_of_People[[#This Row],[Nick Names]],
IF(I159&lt;&gt;"",_xlpm.MarriedName,_xlpm.FamilyName))))</f>
        <v>Jean</v>
      </c>
      <c r="D159" t="b">
        <v>0</v>
      </c>
      <c r="F159" t="s">
        <v>263</v>
      </c>
      <c r="J159" t="s">
        <v>463</v>
      </c>
      <c r="K159" t="str">
        <f>IF(Index_of_People[[#This Row],[SpouseID]]="","",IFERROR(INDEX(Index_of_People[Metadata Name],MATCH(Index_of_People[[#This Row],[SpouseID]],Index_of_People[NameID],0)),""))</f>
        <v/>
      </c>
      <c r="L159" s="6"/>
      <c r="M159" s="2" t="s">
        <v>490</v>
      </c>
      <c r="N159" s="2" t="s">
        <v>490</v>
      </c>
      <c r="O159" s="2" t="s">
        <v>490</v>
      </c>
      <c r="P159" t="b">
        <v>0</v>
      </c>
    </row>
    <row r="160" spans="1:16" x14ac:dyDescent="0.25">
      <c r="A160" s="6">
        <v>155</v>
      </c>
      <c r="B160" s="6" t="b">
        <v>0</v>
      </c>
      <c r="C160" t="str">
        <f>_xlfn.LET(
_xlpm.FamilyName,IF(F160="","",F160)&amp;IF(G160="",""," "&amp;G160)&amp;IF(H160="",""," "&amp;H160),
_xlpm.MarriedName,IF(F160="","",F160)&amp;IF(G160="",""," "&amp;G160)&amp;IF(I160="",""," "&amp;I160)&amp;IF(H160="",""," "&amp;"("&amp;H160)&amp;")",
TRIM(IF(Index_of_People[[#This Row],[Prefer NickName]]=TRUE,Index_of_People[[#This Row],[Nick Names]],
IF(I160&lt;&gt;"",_xlpm.MarriedName,_xlpm.FamilyName))))</f>
        <v>Jean Glover (MacDonald)</v>
      </c>
      <c r="D160" t="b">
        <v>0</v>
      </c>
      <c r="F160" t="s">
        <v>263</v>
      </c>
      <c r="G160" t="s">
        <v>490</v>
      </c>
      <c r="H160" t="s">
        <v>479</v>
      </c>
      <c r="I160" t="s">
        <v>315</v>
      </c>
      <c r="J160" t="s">
        <v>1328</v>
      </c>
      <c r="K160" t="str">
        <f>IF(Index_of_People[[#This Row],[SpouseID]]="","",IFERROR(INDEX(Index_of_People[Metadata Name],MATCH(Index_of_People[[#This Row],[SpouseID]],Index_of_People[NameID],0)),""))</f>
        <v/>
      </c>
      <c r="L160" s="6"/>
      <c r="M160" s="2" t="s">
        <v>490</v>
      </c>
      <c r="N160" s="2" t="s">
        <v>490</v>
      </c>
      <c r="O160" s="2" t="s">
        <v>490</v>
      </c>
      <c r="P160" t="b">
        <v>0</v>
      </c>
    </row>
    <row r="161" spans="1:16" x14ac:dyDescent="0.25">
      <c r="A161" s="6">
        <v>156</v>
      </c>
      <c r="B161" s="6" t="b">
        <v>1</v>
      </c>
      <c r="C161" t="str">
        <f>_xlfn.LET(
_xlpm.FamilyName,IF(F161="","",F161)&amp;IF(G161="",""," "&amp;G161)&amp;IF(H161="",""," "&amp;H161),
_xlpm.MarriedName,IF(F161="","",F161)&amp;IF(G161="",""," "&amp;G161)&amp;IF(I161="",""," "&amp;I161)&amp;IF(H161="",""," "&amp;"("&amp;H161)&amp;")",
TRIM(IF(Index_of_People[[#This Row],[Prefer NickName]]=TRUE,Index_of_People[[#This Row],[Nick Names]],
IF(I161&lt;&gt;"",_xlpm.MarriedName,_xlpm.FamilyName))))</f>
        <v>Jean Glover [Nana] (MacDonald)</v>
      </c>
      <c r="D161" t="b">
        <v>1</v>
      </c>
      <c r="F161" t="s">
        <v>263</v>
      </c>
      <c r="H161" t="s">
        <v>479</v>
      </c>
      <c r="I161" t="s">
        <v>315</v>
      </c>
      <c r="J161" t="s">
        <v>1328</v>
      </c>
      <c r="K161" t="str">
        <f>IF(Index_of_People[[#This Row],[SpouseID]]="","",IFERROR(INDEX(Index_of_People[Metadata Name],MATCH(Index_of_People[[#This Row],[SpouseID]],Index_of_People[NameID],0)),""))</f>
        <v/>
      </c>
      <c r="L161" s="6"/>
      <c r="M161" s="2" t="s">
        <v>490</v>
      </c>
      <c r="N161" s="2" t="s">
        <v>490</v>
      </c>
      <c r="O161" s="2" t="s">
        <v>490</v>
      </c>
      <c r="P161" t="b">
        <v>1</v>
      </c>
    </row>
    <row r="162" spans="1:16" x14ac:dyDescent="0.25">
      <c r="A162" s="6">
        <v>157</v>
      </c>
      <c r="B162" s="6" t="b">
        <v>0</v>
      </c>
      <c r="C162" t="str">
        <f>_xlfn.LET(
_xlpm.FamilyName,IF(F162="","",F162)&amp;IF(G162="",""," "&amp;G162)&amp;IF(H162="",""," "&amp;H162),
_xlpm.MarriedName,IF(F162="","",F162)&amp;IF(G162="",""," "&amp;G162)&amp;IF(I162="",""," "&amp;I162)&amp;IF(H162="",""," "&amp;"("&amp;H162)&amp;")",
TRIM(IF(Index_of_People[[#This Row],[Prefer NickName]]=TRUE,Index_of_People[[#This Row],[Nick Names]],
IF(I162&lt;&gt;"",_xlpm.MarriedName,_xlpm.FamilyName))))</f>
        <v>Jeff Richards</v>
      </c>
      <c r="D162" t="b">
        <v>1</v>
      </c>
      <c r="F162" t="s">
        <v>142</v>
      </c>
      <c r="H162" t="s">
        <v>369</v>
      </c>
      <c r="J162"/>
      <c r="K162" t="str">
        <f>IF(Index_of_People[[#This Row],[SpouseID]]="","",IFERROR(INDEX(Index_of_People[Metadata Name],MATCH(Index_of_People[[#This Row],[SpouseID]],Index_of_People[NameID],0)),""))</f>
        <v/>
      </c>
      <c r="L162" s="6"/>
      <c r="M162" s="2" t="s">
        <v>490</v>
      </c>
      <c r="N162" s="2" t="s">
        <v>490</v>
      </c>
      <c r="O162" s="2" t="s">
        <v>490</v>
      </c>
      <c r="P162" t="b">
        <v>0</v>
      </c>
    </row>
    <row r="163" spans="1:16" x14ac:dyDescent="0.25">
      <c r="A163" s="6">
        <v>158</v>
      </c>
      <c r="B163" s="6" t="b">
        <v>0</v>
      </c>
      <c r="C163" t="str">
        <f>_xlfn.LET(
_xlpm.FamilyName,IF(F163="","",F163)&amp;IF(G163="",""," "&amp;G163)&amp;IF(H163="",""," "&amp;H163),
_xlpm.MarriedName,IF(F163="","",F163)&amp;IF(G163="",""," "&amp;G163)&amp;IF(I163="",""," "&amp;I163)&amp;IF(H163="",""," "&amp;"("&amp;H163)&amp;")",
TRIM(IF(Index_of_People[[#This Row],[Prefer NickName]]=TRUE,Index_of_People[[#This Row],[Nick Names]],
IF(I163&lt;&gt;"",_xlpm.MarriedName,_xlpm.FamilyName))))</f>
        <v>Jeff Woods</v>
      </c>
      <c r="D163" t="b">
        <v>1</v>
      </c>
      <c r="F163" t="s">
        <v>142</v>
      </c>
      <c r="H163" t="s">
        <v>302</v>
      </c>
      <c r="J163"/>
      <c r="K163" t="str">
        <f>IF(Index_of_People[[#This Row],[SpouseID]]="","",IFERROR(INDEX(Index_of_People[Metadata Name],MATCH(Index_of_People[[#This Row],[SpouseID]],Index_of_People[NameID],0)),""))</f>
        <v/>
      </c>
      <c r="L163" s="6"/>
      <c r="M163" s="2" t="s">
        <v>490</v>
      </c>
      <c r="N163" s="2" t="s">
        <v>490</v>
      </c>
      <c r="O163" s="2" t="s">
        <v>490</v>
      </c>
      <c r="P163" t="b">
        <v>0</v>
      </c>
    </row>
    <row r="164" spans="1:16" x14ac:dyDescent="0.25">
      <c r="A164" s="6">
        <v>159</v>
      </c>
      <c r="B164" s="6" t="b">
        <v>0</v>
      </c>
      <c r="C164" t="str">
        <f>_xlfn.LET(
_xlpm.FamilyName,IF(F164="","",F164)&amp;IF(G164="",""," "&amp;G164)&amp;IF(H164="",""," "&amp;H164),
_xlpm.MarriedName,IF(F164="","",F164)&amp;IF(G164="",""," "&amp;G164)&amp;IF(I164="",""," "&amp;I164)&amp;IF(H164="",""," "&amp;"("&amp;H164)&amp;")",
TRIM(IF(Index_of_People[[#This Row],[Prefer NickName]]=TRUE,Index_of_People[[#This Row],[Nick Names]],
IF(I164&lt;&gt;"",_xlpm.MarriedName,_xlpm.FamilyName))))</f>
        <v>Jeffrey David Penner</v>
      </c>
      <c r="D164" t="b">
        <v>1</v>
      </c>
      <c r="F164" t="s">
        <v>264</v>
      </c>
      <c r="G164" t="s">
        <v>106</v>
      </c>
      <c r="H164" t="s">
        <v>295</v>
      </c>
      <c r="J164"/>
      <c r="K164" t="str">
        <f>IF(Index_of_People[[#This Row],[SpouseID]]="","",IFERROR(INDEX(Index_of_People[Metadata Name],MATCH(Index_of_People[[#This Row],[SpouseID]],Index_of_People[NameID],0)),""))</f>
        <v/>
      </c>
      <c r="L164" s="6"/>
      <c r="M164" s="2">
        <v>29816</v>
      </c>
      <c r="P164" t="b">
        <v>1</v>
      </c>
    </row>
    <row r="165" spans="1:16" x14ac:dyDescent="0.25">
      <c r="A165" s="6">
        <v>160</v>
      </c>
      <c r="B165" s="6" t="b">
        <v>0</v>
      </c>
      <c r="C165" t="str">
        <f>_xlfn.LET(
_xlpm.FamilyName,IF(F165="","",F165)&amp;IF(G165="",""," "&amp;G165)&amp;IF(H165="",""," "&amp;H165),
_xlpm.MarriedName,IF(F165="","",F165)&amp;IF(G165="",""," "&amp;G165)&amp;IF(I165="",""," "&amp;I165)&amp;IF(H165="",""," "&amp;"("&amp;H165)&amp;")",
TRIM(IF(Index_of_People[[#This Row],[Prefer NickName]]=TRUE,Index_of_People[[#This Row],[Nick Names]],
IF(I165&lt;&gt;"",_xlpm.MarriedName,_xlpm.FamilyName))))</f>
        <v>Jen</v>
      </c>
      <c r="D165" t="b">
        <v>1</v>
      </c>
      <c r="F165" t="s">
        <v>29</v>
      </c>
      <c r="J165"/>
      <c r="K165" t="str">
        <f>IF(Index_of_People[[#This Row],[SpouseID]]="","",IFERROR(INDEX(Index_of_People[Metadata Name],MATCH(Index_of_People[[#This Row],[SpouseID]],Index_of_People[NameID],0)),""))</f>
        <v/>
      </c>
      <c r="L165" s="6"/>
      <c r="M165" s="2" t="s">
        <v>490</v>
      </c>
      <c r="N165" s="2" t="s">
        <v>490</v>
      </c>
      <c r="O165" s="2" t="s">
        <v>490</v>
      </c>
      <c r="P165" t="b">
        <v>0</v>
      </c>
    </row>
    <row r="166" spans="1:16" x14ac:dyDescent="0.25">
      <c r="A166" s="6">
        <v>161</v>
      </c>
      <c r="B166" s="6" t="b">
        <v>0</v>
      </c>
      <c r="C166" t="str">
        <f>_xlfn.LET(
_xlpm.FamilyName,IF(F166="","",F166)&amp;IF(G166="",""," "&amp;G166)&amp;IF(H166="",""," "&amp;H166),
_xlpm.MarriedName,IF(F166="","",F166)&amp;IF(G166="",""," "&amp;G166)&amp;IF(I166="",""," "&amp;I166)&amp;IF(H166="",""," "&amp;"("&amp;H166)&amp;")",
TRIM(IF(Index_of_People[[#This Row],[Prefer NickName]]=TRUE,Index_of_People[[#This Row],[Nick Names]],
IF(I166&lt;&gt;"",_xlpm.MarriedName,_xlpm.FamilyName))))</f>
        <v>Jen Campbell</v>
      </c>
      <c r="D166" t="b">
        <v>1</v>
      </c>
      <c r="F166" t="s">
        <v>29</v>
      </c>
      <c r="G166" t="s">
        <v>490</v>
      </c>
      <c r="H166" t="s">
        <v>352</v>
      </c>
      <c r="I166" t="s">
        <v>490</v>
      </c>
      <c r="J166" t="s">
        <v>490</v>
      </c>
      <c r="K166" t="str">
        <f>IF(Index_of_People[[#This Row],[SpouseID]]="","",IFERROR(INDEX(Index_of_People[Metadata Name],MATCH(Index_of_People[[#This Row],[SpouseID]],Index_of_People[NameID],0)),""))</f>
        <v/>
      </c>
      <c r="L166" s="6"/>
      <c r="M166" s="2" t="s">
        <v>490</v>
      </c>
      <c r="N166" s="2" t="s">
        <v>490</v>
      </c>
      <c r="O166" s="2" t="s">
        <v>490</v>
      </c>
      <c r="P166" t="b">
        <v>0</v>
      </c>
    </row>
    <row r="167" spans="1:16" x14ac:dyDescent="0.25">
      <c r="A167" s="6">
        <v>162</v>
      </c>
      <c r="B167" s="6" t="b">
        <v>0</v>
      </c>
      <c r="C167" t="str">
        <f>_xlfn.LET(
_xlpm.FamilyName,IF(F167="","",F167)&amp;IF(G167="",""," "&amp;G167)&amp;IF(H167="",""," "&amp;H167),
_xlpm.MarriedName,IF(F167="","",F167)&amp;IF(G167="",""," "&amp;G167)&amp;IF(I167="",""," "&amp;I167)&amp;IF(H167="",""," "&amp;"("&amp;H167)&amp;")",
TRIM(IF(Index_of_People[[#This Row],[Prefer NickName]]=TRUE,Index_of_People[[#This Row],[Nick Names]],
IF(I167&lt;&gt;"",_xlpm.MarriedName,_xlpm.FamilyName))))</f>
        <v>Jenna</v>
      </c>
      <c r="D167" t="b">
        <v>0</v>
      </c>
      <c r="F167" t="s">
        <v>265</v>
      </c>
      <c r="J167" t="s">
        <v>468</v>
      </c>
      <c r="K167" t="str">
        <f>IF(Index_of_People[[#This Row],[SpouseID]]="","",IFERROR(INDEX(Index_of_People[Metadata Name],MATCH(Index_of_People[[#This Row],[SpouseID]],Index_of_People[NameID],0)),""))</f>
        <v/>
      </c>
      <c r="L167" s="6"/>
      <c r="M167" s="2" t="s">
        <v>490</v>
      </c>
      <c r="N167" s="2" t="s">
        <v>490</v>
      </c>
      <c r="O167" s="2" t="s">
        <v>490</v>
      </c>
      <c r="P167" t="b">
        <v>0</v>
      </c>
    </row>
    <row r="168" spans="1:16" x14ac:dyDescent="0.25">
      <c r="A168" s="6">
        <v>163</v>
      </c>
      <c r="B168" s="6" t="b">
        <v>0</v>
      </c>
      <c r="C168" t="str">
        <f>_xlfn.LET(
_xlpm.FamilyName,IF(F168="","",F168)&amp;IF(G168="",""," "&amp;G168)&amp;IF(H168="",""," "&amp;H168),
_xlpm.MarriedName,IF(F168="","",F168)&amp;IF(G168="",""," "&amp;G168)&amp;IF(I168="",""," "&amp;I168)&amp;IF(H168="",""," "&amp;"("&amp;H168)&amp;")",
TRIM(IF(Index_of_People[[#This Row],[Prefer NickName]]=TRUE,Index_of_People[[#This Row],[Nick Names]],
IF(I168&lt;&gt;"",_xlpm.MarriedName,_xlpm.FamilyName))))</f>
        <v>Jennifer Tedlie</v>
      </c>
      <c r="D168" t="b">
        <v>1</v>
      </c>
      <c r="F168" t="s">
        <v>143</v>
      </c>
      <c r="H168" t="s">
        <v>370</v>
      </c>
      <c r="J168"/>
      <c r="K168" t="str">
        <f>IF(Index_of_People[[#This Row],[SpouseID]]="","",IFERROR(INDEX(Index_of_People[Metadata Name],MATCH(Index_of_People[[#This Row],[SpouseID]],Index_of_People[NameID],0)),""))</f>
        <v/>
      </c>
      <c r="L168" s="6"/>
      <c r="M168" s="2" t="s">
        <v>490</v>
      </c>
      <c r="N168" s="2" t="s">
        <v>490</v>
      </c>
      <c r="O168" s="2" t="s">
        <v>490</v>
      </c>
      <c r="P168" t="b">
        <v>0</v>
      </c>
    </row>
    <row r="169" spans="1:16" ht="14.25" customHeight="1" x14ac:dyDescent="0.25">
      <c r="A169" s="6">
        <v>164</v>
      </c>
      <c r="B169" s="6" t="b">
        <v>0</v>
      </c>
      <c r="C169" t="str">
        <f>_xlfn.LET(
_xlpm.FamilyName,IF(F169="","",F169)&amp;IF(G169="",""," "&amp;G169)&amp;IF(H169="",""," "&amp;H169),
_xlpm.MarriedName,IF(F169="","",F169)&amp;IF(G169="",""," "&amp;G169)&amp;IF(I169="",""," "&amp;I169)&amp;IF(H169="",""," "&amp;"("&amp;H169)&amp;")",
TRIM(IF(Index_of_People[[#This Row],[Prefer NickName]]=TRUE,Index_of_People[[#This Row],[Nick Names]],
IF(I169&lt;&gt;"",_xlpm.MarriedName,_xlpm.FamilyName))))</f>
        <v>Jenny Woo</v>
      </c>
      <c r="D169" t="b">
        <v>1</v>
      </c>
      <c r="F169" t="s">
        <v>144</v>
      </c>
      <c r="H169" t="s">
        <v>371</v>
      </c>
      <c r="J169"/>
      <c r="K169" t="str">
        <f>IF(Index_of_People[[#This Row],[SpouseID]]="","",IFERROR(INDEX(Index_of_People[Metadata Name],MATCH(Index_of_People[[#This Row],[SpouseID]],Index_of_People[NameID],0)),""))</f>
        <v/>
      </c>
      <c r="L169" s="6"/>
      <c r="M169" s="2" t="s">
        <v>490</v>
      </c>
      <c r="N169" s="2" t="s">
        <v>490</v>
      </c>
      <c r="O169" s="2" t="s">
        <v>490</v>
      </c>
      <c r="P169" t="b">
        <v>0</v>
      </c>
    </row>
    <row r="170" spans="1:16" x14ac:dyDescent="0.25">
      <c r="A170" s="6">
        <v>165</v>
      </c>
      <c r="B170" s="6" t="b">
        <v>0</v>
      </c>
      <c r="C170" t="str">
        <f>_xlfn.LET(
_xlpm.FamilyName,IF(F170="","",F170)&amp;IF(G170="",""," "&amp;G170)&amp;IF(H170="",""," "&amp;H170),
_xlpm.MarriedName,IF(F170="","",F170)&amp;IF(G170="",""," "&amp;G170)&amp;IF(I170="",""," "&amp;I170)&amp;IF(H170="",""," "&amp;"("&amp;H170)&amp;")",
TRIM(IF(Index_of_People[[#This Row],[Prefer NickName]]=TRUE,Index_of_People[[#This Row],[Nick Names]],
IF(I170&lt;&gt;"",_xlpm.MarriedName,_xlpm.FamilyName))))</f>
        <v>Jerry</v>
      </c>
      <c r="D170" t="b">
        <v>1</v>
      </c>
      <c r="F170" t="s">
        <v>52</v>
      </c>
      <c r="J170"/>
      <c r="K170" t="str">
        <f>IF(Index_of_People[[#This Row],[SpouseID]]="","",IFERROR(INDEX(Index_of_People[Metadata Name],MATCH(Index_of_People[[#This Row],[SpouseID]],Index_of_People[NameID],0)),""))</f>
        <v/>
      </c>
      <c r="L170" s="6"/>
      <c r="M170" s="2" t="s">
        <v>490</v>
      </c>
      <c r="N170" s="2" t="s">
        <v>490</v>
      </c>
      <c r="O170" s="2" t="s">
        <v>490</v>
      </c>
      <c r="P170" t="b">
        <v>0</v>
      </c>
    </row>
    <row r="171" spans="1:16" x14ac:dyDescent="0.25">
      <c r="A171" s="6">
        <v>166</v>
      </c>
      <c r="B171" s="6" t="b">
        <v>0</v>
      </c>
      <c r="C171" t="str">
        <f>_xlfn.LET(
_xlpm.FamilyName,IF(F171="","",F171)&amp;IF(G171="",""," "&amp;G171)&amp;IF(H171="",""," "&amp;H171),
_xlpm.MarriedName,IF(F171="","",F171)&amp;IF(G171="",""," "&amp;G171)&amp;IF(I171="",""," "&amp;I171)&amp;IF(H171="",""," "&amp;"("&amp;H171)&amp;")",
TRIM(IF(Index_of_People[[#This Row],[Prefer NickName]]=TRUE,Index_of_People[[#This Row],[Nick Names]],
IF(I171&lt;&gt;"",_xlpm.MarriedName,_xlpm.FamilyName))))</f>
        <v>Jim Glover</v>
      </c>
      <c r="D171" t="b">
        <v>1</v>
      </c>
      <c r="F171" t="s">
        <v>145</v>
      </c>
      <c r="H171" t="s">
        <v>315</v>
      </c>
      <c r="J171"/>
      <c r="K171" t="str">
        <f>IF(Index_of_People[[#This Row],[SpouseID]]="","",IFERROR(INDEX(Index_of_People[Metadata Name],MATCH(Index_of_People[[#This Row],[SpouseID]],Index_of_People[NameID],0)),""))</f>
        <v/>
      </c>
      <c r="L171" s="6"/>
      <c r="M171" s="2" t="s">
        <v>490</v>
      </c>
      <c r="N171" s="2" t="s">
        <v>490</v>
      </c>
      <c r="O171" s="2" t="s">
        <v>490</v>
      </c>
      <c r="P171" t="b">
        <v>1</v>
      </c>
    </row>
    <row r="172" spans="1:16" x14ac:dyDescent="0.25">
      <c r="A172" s="6">
        <v>167</v>
      </c>
      <c r="B172" s="6" t="b">
        <v>0</v>
      </c>
      <c r="C172" t="str">
        <f>_xlfn.LET(
_xlpm.FamilyName,IF(F172="","",F172)&amp;IF(G172="",""," "&amp;G172)&amp;IF(H172="",""," "&amp;H172),
_xlpm.MarriedName,IF(F172="","",F172)&amp;IF(G172="",""," "&amp;G172)&amp;IF(I172="",""," "&amp;I172)&amp;IF(H172="",""," "&amp;"("&amp;H172)&amp;")",
TRIM(IF(Index_of_People[[#This Row],[Prefer NickName]]=TRUE,Index_of_People[[#This Row],[Nick Names]],
IF(I172&lt;&gt;"",_xlpm.MarriedName,_xlpm.FamilyName))))</f>
        <v>Joan Chapman (Carey)</v>
      </c>
      <c r="D172" t="b">
        <v>1</v>
      </c>
      <c r="F172" t="s">
        <v>146</v>
      </c>
      <c r="H172" t="s">
        <v>320</v>
      </c>
      <c r="I172" t="s">
        <v>372</v>
      </c>
      <c r="J172"/>
      <c r="K172" t="str">
        <f>IF(Index_of_People[[#This Row],[SpouseID]]="","",IFERROR(INDEX(Index_of_People[Metadata Name],MATCH(Index_of_People[[#This Row],[SpouseID]],Index_of_People[NameID],0)),""))</f>
        <v>Jack Chapman</v>
      </c>
      <c r="L172" s="6">
        <v>143</v>
      </c>
      <c r="M172" s="2" t="s">
        <v>490</v>
      </c>
      <c r="N172" s="2" t="s">
        <v>490</v>
      </c>
      <c r="O172" s="2" t="s">
        <v>490</v>
      </c>
      <c r="P172" t="b">
        <v>1</v>
      </c>
    </row>
    <row r="173" spans="1:16" x14ac:dyDescent="0.25">
      <c r="A173" s="6">
        <v>168</v>
      </c>
      <c r="B173" s="6" t="b">
        <v>0</v>
      </c>
      <c r="C173" t="str">
        <f>_xlfn.LET(
_xlpm.FamilyName,IF(F173="","",F173)&amp;IF(G173="",""," "&amp;G173)&amp;IF(H173="",""," "&amp;H173),
_xlpm.MarriedName,IF(F173="","",F173)&amp;IF(G173="",""," "&amp;G173)&amp;IF(I173="",""," "&amp;I173)&amp;IF(H173="",""," "&amp;"("&amp;H173)&amp;")",
TRIM(IF(Index_of_People[[#This Row],[Prefer NickName]]=TRUE,Index_of_People[[#This Row],[Nick Names]],
IF(I173&lt;&gt;"",_xlpm.MarriedName,_xlpm.FamilyName))))</f>
        <v>Joan Spencley</v>
      </c>
      <c r="D173" t="b">
        <v>1</v>
      </c>
      <c r="F173" t="s">
        <v>146</v>
      </c>
      <c r="H173" t="s">
        <v>373</v>
      </c>
      <c r="J173"/>
      <c r="K173" t="str">
        <f>IF(Index_of_People[[#This Row],[SpouseID]]="","",IFERROR(INDEX(Index_of_People[Metadata Name],MATCH(Index_of_People[[#This Row],[SpouseID]],Index_of_People[NameID],0)),""))</f>
        <v/>
      </c>
      <c r="L173" s="6"/>
      <c r="M173" s="2" t="s">
        <v>490</v>
      </c>
      <c r="N173" s="2" t="s">
        <v>490</v>
      </c>
      <c r="O173" s="2" t="s">
        <v>490</v>
      </c>
      <c r="P173" t="b">
        <v>0</v>
      </c>
    </row>
    <row r="174" spans="1:16" x14ac:dyDescent="0.25">
      <c r="A174" s="6">
        <v>169</v>
      </c>
      <c r="B174" s="6" t="b">
        <v>0</v>
      </c>
      <c r="C174" t="str">
        <f>_xlfn.LET(
_xlpm.FamilyName,IF(F174="","",F174)&amp;IF(G174="",""," "&amp;G174)&amp;IF(H174="",""," "&amp;H174),
_xlpm.MarriedName,IF(F174="","",F174)&amp;IF(G174="",""," "&amp;G174)&amp;IF(I174="",""," "&amp;I174)&amp;IF(H174="",""," "&amp;"("&amp;H174)&amp;")",
TRIM(IF(Index_of_People[[#This Row],[Prefer NickName]]=TRUE,Index_of_People[[#This Row],[Nick Names]],
IF(I174&lt;&gt;"",_xlpm.MarriedName,_xlpm.FamilyName))))</f>
        <v>Joanne Lee Bailey (Wardle)</v>
      </c>
      <c r="D174" t="b">
        <v>1</v>
      </c>
      <c r="F174" t="s">
        <v>1331</v>
      </c>
      <c r="G174" t="s">
        <v>163</v>
      </c>
      <c r="H174" t="s">
        <v>305</v>
      </c>
      <c r="I174" t="s">
        <v>374</v>
      </c>
      <c r="J174"/>
      <c r="K174" t="str">
        <f>IF(Index_of_People[[#This Row],[SpouseID]]="","",IFERROR(INDEX(Index_of_People[Metadata Name],MATCH(Index_of_People[[#This Row],[SpouseID]],Index_of_People[NameID],0)),""))</f>
        <v>John Bailey</v>
      </c>
      <c r="L174" s="6">
        <v>173</v>
      </c>
      <c r="M174" s="2">
        <v>22486</v>
      </c>
      <c r="N174" s="2">
        <v>32410</v>
      </c>
      <c r="P174" t="b">
        <v>1</v>
      </c>
    </row>
    <row r="175" spans="1:16" x14ac:dyDescent="0.25">
      <c r="A175" s="6">
        <v>170</v>
      </c>
      <c r="B175" s="6" t="b">
        <v>0</v>
      </c>
      <c r="C175" t="str">
        <f>_xlfn.LET(
_xlpm.FamilyName,IF(F175="","",F175)&amp;IF(G175="",""," "&amp;G175)&amp;IF(H175="",""," "&amp;H175),
_xlpm.MarriedName,IF(F175="","",F175)&amp;IF(G175="",""," "&amp;G175)&amp;IF(I175="",""," "&amp;I175)&amp;IF(H175="",""," "&amp;"("&amp;H175)&amp;")",
TRIM(IF(Index_of_People[[#This Row],[Prefer NickName]]=TRUE,Index_of_People[[#This Row],[Nick Names]],
IF(I175&lt;&gt;"",_xlpm.MarriedName,_xlpm.FamilyName))))</f>
        <v>Jodie Pongracz</v>
      </c>
      <c r="D175" t="b">
        <v>0</v>
      </c>
      <c r="F175" t="s">
        <v>488</v>
      </c>
      <c r="H175" t="s">
        <v>489</v>
      </c>
      <c r="J175"/>
      <c r="K175" t="str">
        <f>IF(Index_of_People[[#This Row],[SpouseID]]="","",IFERROR(INDEX(Index_of_People[Metadata Name],MATCH(Index_of_People[[#This Row],[SpouseID]],Index_of_People[NameID],0)),""))</f>
        <v>Chris Hunter</v>
      </c>
      <c r="L175" s="6">
        <v>56</v>
      </c>
      <c r="P175" t="b">
        <v>1</v>
      </c>
    </row>
    <row r="176" spans="1:16" x14ac:dyDescent="0.25">
      <c r="A176" s="6">
        <v>171</v>
      </c>
      <c r="B176" s="6" t="b">
        <v>0</v>
      </c>
      <c r="C176" t="str">
        <f>_xlfn.LET(
_xlpm.FamilyName,IF(F176="","",F176)&amp;IF(G176="",""," "&amp;G176)&amp;IF(H176="",""," "&amp;H176),
_xlpm.MarriedName,IF(F176="","",F176)&amp;IF(G176="",""," "&amp;G176)&amp;IF(I176="",""," "&amp;I176)&amp;IF(H176="",""," "&amp;"("&amp;H176)&amp;")",
TRIM(IF(Index_of_People[[#This Row],[Prefer NickName]]=TRUE,Index_of_People[[#This Row],[Nick Names]],
IF(I176&lt;&gt;"",_xlpm.MarriedName,_xlpm.FamilyName))))</f>
        <v>Joe Mills</v>
      </c>
      <c r="D176" t="b">
        <v>1</v>
      </c>
      <c r="F176" t="s">
        <v>147</v>
      </c>
      <c r="H176" t="s">
        <v>375</v>
      </c>
      <c r="J176"/>
      <c r="K176" t="str">
        <f>IF(Index_of_People[[#This Row],[SpouseID]]="","",IFERROR(INDEX(Index_of_People[Metadata Name],MATCH(Index_of_People[[#This Row],[SpouseID]],Index_of_People[NameID],0)),""))</f>
        <v/>
      </c>
      <c r="L176" s="6"/>
      <c r="M176" s="2" t="s">
        <v>490</v>
      </c>
      <c r="N176" s="2" t="s">
        <v>490</v>
      </c>
      <c r="O176" s="2" t="s">
        <v>490</v>
      </c>
      <c r="P176" t="b">
        <v>0</v>
      </c>
    </row>
    <row r="177" spans="1:16" x14ac:dyDescent="0.25">
      <c r="A177" s="6">
        <v>172</v>
      </c>
      <c r="B177" s="6" t="b">
        <v>0</v>
      </c>
      <c r="C177" t="str">
        <f>_xlfn.LET(
_xlpm.FamilyName,IF(F177="","",F177)&amp;IF(G177="",""," "&amp;G177)&amp;IF(H177="",""," "&amp;H177),
_xlpm.MarriedName,IF(F177="","",F177)&amp;IF(G177="",""," "&amp;G177)&amp;IF(I177="",""," "&amp;I177)&amp;IF(H177="",""," "&amp;"("&amp;H177)&amp;")",
TRIM(IF(Index_of_People[[#This Row],[Prefer NickName]]=TRUE,Index_of_People[[#This Row],[Nick Names]],
IF(I177&lt;&gt;"",_xlpm.MarriedName,_xlpm.FamilyName))))</f>
        <v>Joe Sinclair</v>
      </c>
      <c r="D177" t="b">
        <v>0</v>
      </c>
      <c r="F177" t="s">
        <v>147</v>
      </c>
      <c r="H177" t="s">
        <v>376</v>
      </c>
      <c r="J177"/>
      <c r="K177" t="str">
        <f>IF(Index_of_People[[#This Row],[SpouseID]]="","",IFERROR(INDEX(Index_of_People[Metadata Name],MATCH(Index_of_People[[#This Row],[SpouseID]],Index_of_People[NameID],0)),""))</f>
        <v/>
      </c>
      <c r="L177" s="6"/>
      <c r="M177" s="2" t="s">
        <v>490</v>
      </c>
      <c r="N177" s="2" t="s">
        <v>490</v>
      </c>
      <c r="O177" s="2" t="s">
        <v>490</v>
      </c>
      <c r="P177" t="b">
        <v>0</v>
      </c>
    </row>
    <row r="178" spans="1:16" x14ac:dyDescent="0.25">
      <c r="A178" s="6">
        <v>173</v>
      </c>
      <c r="B178" s="6" t="b">
        <v>0</v>
      </c>
      <c r="C178" t="str">
        <f>_xlfn.LET(
_xlpm.FamilyName,IF(F178="","",F178)&amp;IF(G178="",""," "&amp;G178)&amp;IF(H178="",""," "&amp;H178),
_xlpm.MarriedName,IF(F178="","",F178)&amp;IF(G178="",""," "&amp;G178)&amp;IF(I178="",""," "&amp;I178)&amp;IF(H178="",""," "&amp;"("&amp;H178)&amp;")",
TRIM(IF(Index_of_People[[#This Row],[Prefer NickName]]=TRUE,Index_of_People[[#This Row],[Nick Names]],
IF(I178&lt;&gt;"",_xlpm.MarriedName,_xlpm.FamilyName))))</f>
        <v>John Bailey</v>
      </c>
      <c r="D178" t="b">
        <v>1</v>
      </c>
      <c r="F178" t="s">
        <v>148</v>
      </c>
      <c r="H178" t="s">
        <v>374</v>
      </c>
      <c r="J178"/>
      <c r="K178" t="str">
        <f>IF(Index_of_People[[#This Row],[SpouseID]]="","",IFERROR(INDEX(Index_of_People[Metadata Name],MATCH(Index_of_People[[#This Row],[SpouseID]],Index_of_People[NameID],0)),""))</f>
        <v>Joanne Lee Bailey (Wardle)</v>
      </c>
      <c r="L178" s="6">
        <v>169</v>
      </c>
      <c r="M178" s="2">
        <v>21370</v>
      </c>
      <c r="N178" s="2">
        <v>32410</v>
      </c>
      <c r="P178" t="b">
        <v>1</v>
      </c>
    </row>
    <row r="179" spans="1:16" x14ac:dyDescent="0.25">
      <c r="A179" s="6">
        <v>174</v>
      </c>
      <c r="B179" s="6" t="b">
        <v>0</v>
      </c>
      <c r="C179" t="str">
        <f>_xlfn.LET(
_xlpm.FamilyName,IF(F179="","",F179)&amp;IF(G179="",""," "&amp;G179)&amp;IF(H179="",""," "&amp;H179),
_xlpm.MarriedName,IF(F179="","",F179)&amp;IF(G179="",""," "&amp;G179)&amp;IF(I179="",""," "&amp;I179)&amp;IF(H179="",""," "&amp;"("&amp;H179)&amp;")",
TRIM(IF(Index_of_People[[#This Row],[Prefer NickName]]=TRUE,Index_of_People[[#This Row],[Nick Names]],
IF(I179&lt;&gt;"",_xlpm.MarriedName,_xlpm.FamilyName))))</f>
        <v>John Edward Cyril Trott</v>
      </c>
      <c r="D179" t="b">
        <v>1</v>
      </c>
      <c r="F179" t="s">
        <v>148</v>
      </c>
      <c r="G179" t="s">
        <v>452</v>
      </c>
      <c r="H179" t="s">
        <v>377</v>
      </c>
      <c r="J179"/>
      <c r="K179" t="str">
        <f>IF(Index_of_People[[#This Row],[SpouseID]]="","",IFERROR(INDEX(Index_of_People[Metadata Name],MATCH(Index_of_People[[#This Row],[SpouseID]],Index_of_People[NameID],0)),""))</f>
        <v/>
      </c>
      <c r="L179" s="6"/>
      <c r="M179" s="2" t="s">
        <v>490</v>
      </c>
      <c r="N179" s="2" t="s">
        <v>490</v>
      </c>
      <c r="O179" s="2" t="s">
        <v>490</v>
      </c>
      <c r="P179" t="b">
        <v>1</v>
      </c>
    </row>
    <row r="180" spans="1:16" x14ac:dyDescent="0.25">
      <c r="A180" s="6">
        <v>175</v>
      </c>
      <c r="B180" s="6" t="b">
        <v>0</v>
      </c>
      <c r="C180" t="str">
        <f>_xlfn.LET(
_xlpm.FamilyName,IF(F180="","",F180)&amp;IF(G180="",""," "&amp;G180)&amp;IF(H180="",""," "&amp;H180),
_xlpm.MarriedName,IF(F180="","",F180)&amp;IF(G180="",""," "&amp;G180)&amp;IF(I180="",""," "&amp;I180)&amp;IF(H180="",""," "&amp;"("&amp;H180)&amp;")",
TRIM(IF(Index_of_People[[#This Row],[Prefer NickName]]=TRUE,Index_of_People[[#This Row],[Nick Names]],
IF(I180&lt;&gt;"",_xlpm.MarriedName,_xlpm.FamilyName))))</f>
        <v>John George Penner</v>
      </c>
      <c r="D180" t="b">
        <v>1</v>
      </c>
      <c r="F180" t="s">
        <v>148</v>
      </c>
      <c r="G180" t="s">
        <v>128</v>
      </c>
      <c r="H180" t="s">
        <v>295</v>
      </c>
      <c r="J180"/>
      <c r="K180" t="str">
        <f>IF(Index_of_People[[#This Row],[SpouseID]]="","",IFERROR(INDEX(Index_of_People[Metadata Name],MATCH(Index_of_People[[#This Row],[SpouseID]],Index_of_People[NameID],0)),""))</f>
        <v>Mary Penner (Lowden)</v>
      </c>
      <c r="L180" s="6">
        <v>228</v>
      </c>
      <c r="M180" s="2">
        <v>11723</v>
      </c>
      <c r="N180" s="2">
        <v>20818</v>
      </c>
      <c r="P180" t="b">
        <v>1</v>
      </c>
    </row>
    <row r="181" spans="1:16" x14ac:dyDescent="0.25">
      <c r="A181" s="6">
        <v>176</v>
      </c>
      <c r="B181" s="6" t="b">
        <v>0</v>
      </c>
      <c r="C181" t="str">
        <f>_xlfn.LET(
_xlpm.FamilyName,IF(F181="","",F181)&amp;IF(G181="",""," "&amp;G181)&amp;IF(H181="",""," "&amp;H181),
_xlpm.MarriedName,IF(F181="","",F181)&amp;IF(G181="",""," "&amp;G181)&amp;IF(I181="",""," "&amp;I181)&amp;IF(H181="",""," "&amp;"("&amp;H181)&amp;")",
TRIM(IF(Index_of_People[[#This Row],[Prefer NickName]]=TRUE,Index_of_People[[#This Row],[Nick Names]],
IF(I181&lt;&gt;"",_xlpm.MarriedName,_xlpm.FamilyName))))</f>
        <v>John John Penner</v>
      </c>
      <c r="D181" t="b">
        <v>1</v>
      </c>
      <c r="F181" t="s">
        <v>148</v>
      </c>
      <c r="G181" t="s">
        <v>148</v>
      </c>
      <c r="H181" t="s">
        <v>295</v>
      </c>
      <c r="J181"/>
      <c r="K181" t="str">
        <f>IF(Index_of_People[[#This Row],[SpouseID]]="","",IFERROR(INDEX(Index_of_People[Metadata Name],MATCH(Index_of_People[[#This Row],[SpouseID]],Index_of_People[NameID],0)),""))</f>
        <v>Maria Henriette Penner (Enns)</v>
      </c>
      <c r="L181" s="6">
        <v>220</v>
      </c>
      <c r="M181" s="2">
        <v>1792</v>
      </c>
      <c r="N181" s="2">
        <v>11425</v>
      </c>
      <c r="O181" s="2">
        <v>19451</v>
      </c>
      <c r="P181" t="b">
        <v>1</v>
      </c>
    </row>
    <row r="182" spans="1:16" x14ac:dyDescent="0.25">
      <c r="A182" s="6">
        <v>177</v>
      </c>
      <c r="B182" s="6" t="b">
        <v>0</v>
      </c>
      <c r="C182" t="str">
        <f>_xlfn.LET(
_xlpm.FamilyName,IF(F182="","",F182)&amp;IF(G182="",""," "&amp;G182)&amp;IF(H182="",""," "&amp;H182),
_xlpm.MarriedName,IF(F182="","",F182)&amp;IF(G182="",""," "&amp;G182)&amp;IF(I182="",""," "&amp;I182)&amp;IF(H182="",""," "&amp;"("&amp;H182)&amp;")",
TRIM(IF(Index_of_People[[#This Row],[Prefer NickName]]=TRUE,Index_of_People[[#This Row],[Nick Names]],
IF(I182&lt;&gt;"",_xlpm.MarriedName,_xlpm.FamilyName))))</f>
        <v>John Peters</v>
      </c>
      <c r="D182" t="b">
        <v>1</v>
      </c>
      <c r="F182" t="s">
        <v>148</v>
      </c>
      <c r="H182" t="s">
        <v>378</v>
      </c>
      <c r="J182"/>
      <c r="K182" t="str">
        <f>IF(Index_of_People[[#This Row],[SpouseID]]="","",IFERROR(INDEX(Index_of_People[Metadata Name],MATCH(Index_of_People[[#This Row],[SpouseID]],Index_of_People[NameID],0)),""))</f>
        <v/>
      </c>
      <c r="L182" s="6"/>
      <c r="M182" s="2" t="s">
        <v>490</v>
      </c>
      <c r="N182" s="2" t="s">
        <v>490</v>
      </c>
      <c r="O182" s="2" t="s">
        <v>490</v>
      </c>
      <c r="P182" t="b">
        <v>0</v>
      </c>
    </row>
    <row r="183" spans="1:16" x14ac:dyDescent="0.25">
      <c r="A183" s="6">
        <v>178</v>
      </c>
      <c r="B183" s="6" t="b">
        <v>0</v>
      </c>
      <c r="C183" t="str">
        <f>_xlfn.LET(
_xlpm.FamilyName,IF(F183="","",F183)&amp;IF(G183="",""," "&amp;G183)&amp;IF(H183="",""," "&amp;H183),
_xlpm.MarriedName,IF(F183="","",F183)&amp;IF(G183="",""," "&amp;G183)&amp;IF(I183="",""," "&amp;I183)&amp;IF(H183="",""," "&amp;"("&amp;H183)&amp;")",
TRIM(IF(Index_of_People[[#This Row],[Prefer NickName]]=TRUE,Index_of_People[[#This Row],[Nick Names]],
IF(I183&lt;&gt;"",_xlpm.MarriedName,_xlpm.FamilyName))))</f>
        <v>John Rapp</v>
      </c>
      <c r="D183" t="b">
        <v>0</v>
      </c>
      <c r="F183" t="s">
        <v>148</v>
      </c>
      <c r="H183" t="s">
        <v>379</v>
      </c>
      <c r="J183"/>
      <c r="K183" t="str">
        <f>IF(Index_of_People[[#This Row],[SpouseID]]="","",IFERROR(INDEX(Index_of_People[Metadata Name],MATCH(Index_of_People[[#This Row],[SpouseID]],Index_of_People[NameID],0)),""))</f>
        <v/>
      </c>
      <c r="L183" s="6"/>
      <c r="M183" s="2" t="s">
        <v>490</v>
      </c>
      <c r="N183" s="2" t="s">
        <v>490</v>
      </c>
      <c r="O183" s="2" t="s">
        <v>490</v>
      </c>
      <c r="P183" t="b">
        <v>0</v>
      </c>
    </row>
    <row r="184" spans="1:16" x14ac:dyDescent="0.25">
      <c r="A184" s="6">
        <v>179</v>
      </c>
      <c r="B184" s="6" t="b">
        <v>0</v>
      </c>
      <c r="C184" t="str">
        <f>_xlfn.LET(
_xlpm.FamilyName,IF(F184="","",F184)&amp;IF(G184="",""," "&amp;G184)&amp;IF(H184="",""," "&amp;H184),
_xlpm.MarriedName,IF(F184="","",F184)&amp;IF(G184="",""," "&amp;G184)&amp;IF(I184="",""," "&amp;I184)&amp;IF(H184="",""," "&amp;"("&amp;H184)&amp;")",
TRIM(IF(Index_of_People[[#This Row],[Prefer NickName]]=TRUE,Index_of_People[[#This Row],[Nick Names]],
IF(I184&lt;&gt;"",_xlpm.MarriedName,_xlpm.FamilyName))))</f>
        <v>John William Penner</v>
      </c>
      <c r="D184" t="b">
        <v>1</v>
      </c>
      <c r="F184" t="s">
        <v>148</v>
      </c>
      <c r="G184" t="s">
        <v>233</v>
      </c>
      <c r="H184" t="s">
        <v>295</v>
      </c>
      <c r="J184"/>
      <c r="K184" t="str">
        <f>IF(Index_of_People[[#This Row],[SpouseID]]="","",IFERROR(INDEX(Index_of_People[Metadata Name],MATCH(Index_of_People[[#This Row],[SpouseID]],Index_of_People[NameID],0)),""))</f>
        <v>Ann Winberg</v>
      </c>
      <c r="L184" s="6">
        <v>21</v>
      </c>
      <c r="M184" s="2">
        <v>24740</v>
      </c>
      <c r="N184" s="2">
        <v>32276</v>
      </c>
      <c r="P184" t="b">
        <v>1</v>
      </c>
    </row>
    <row r="185" spans="1:16" x14ac:dyDescent="0.25">
      <c r="A185" s="6">
        <v>180</v>
      </c>
      <c r="B185" s="6" t="b">
        <v>0</v>
      </c>
      <c r="C185" t="str">
        <f>_xlfn.LET(
_xlpm.FamilyName,IF(F185="","",F185)&amp;IF(G185="",""," "&amp;G185)&amp;IF(H185="",""," "&amp;H185),
_xlpm.MarriedName,IF(F185="","",F185)&amp;IF(G185="",""," "&amp;G185)&amp;IF(I185="",""," "&amp;I185)&amp;IF(H185="",""," "&amp;"("&amp;H185)&amp;")",
TRIM(IF(Index_of_People[[#This Row],[Prefer NickName]]=TRUE,Index_of_People[[#This Row],[Nick Names]],
IF(I185&lt;&gt;"",_xlpm.MarriedName,_xlpm.FamilyName))))</f>
        <v>Judy Anne Hunter (Barker)</v>
      </c>
      <c r="D185" t="b">
        <v>1</v>
      </c>
      <c r="F185" t="s">
        <v>149</v>
      </c>
      <c r="G185" t="s">
        <v>307</v>
      </c>
      <c r="H185" t="s">
        <v>312</v>
      </c>
      <c r="I185" t="s">
        <v>310</v>
      </c>
      <c r="J185"/>
      <c r="K185" t="str">
        <f>IF(Index_of_People[[#This Row],[SpouseID]]="","",IFERROR(INDEX(Index_of_People[Metadata Name],MATCH(Index_of_People[[#This Row],[SpouseID]],Index_of_People[NameID],0)),""))</f>
        <v>Bob Hunter</v>
      </c>
      <c r="L185" s="6">
        <v>36</v>
      </c>
      <c r="M185" s="2">
        <v>16935</v>
      </c>
      <c r="O185" s="2">
        <v>43669</v>
      </c>
      <c r="P185" t="b">
        <v>1</v>
      </c>
    </row>
    <row r="186" spans="1:16" x14ac:dyDescent="0.25">
      <c r="A186" s="6">
        <v>181</v>
      </c>
      <c r="B186" s="6" t="b">
        <v>0</v>
      </c>
      <c r="C186" t="str">
        <f>_xlfn.LET(
_xlpm.FamilyName,IF(F186="","",F186)&amp;IF(G186="",""," "&amp;G186)&amp;IF(H186="",""," "&amp;H186),
_xlpm.MarriedName,IF(F186="","",F186)&amp;IF(G186="",""," "&amp;G186)&amp;IF(I186="",""," "&amp;I186)&amp;IF(H186="",""," "&amp;"("&amp;H186)&amp;")",
TRIM(IF(Index_of_People[[#This Row],[Prefer NickName]]=TRUE,Index_of_People[[#This Row],[Nick Names]],
IF(I186&lt;&gt;"",_xlpm.MarriedName,_xlpm.FamilyName))))</f>
        <v>Jules Sheard</v>
      </c>
      <c r="D186" t="b">
        <v>1</v>
      </c>
      <c r="F186" t="s">
        <v>150</v>
      </c>
      <c r="H186" t="s">
        <v>319</v>
      </c>
      <c r="J186"/>
      <c r="K186" t="str">
        <f>IF(Index_of_People[[#This Row],[SpouseID]]="","",IFERROR(INDEX(Index_of_People[Metadata Name],MATCH(Index_of_People[[#This Row],[SpouseID]],Index_of_People[NameID],0)),""))</f>
        <v/>
      </c>
      <c r="L186" s="6"/>
      <c r="M186" s="2" t="s">
        <v>490</v>
      </c>
      <c r="N186" s="2" t="s">
        <v>490</v>
      </c>
      <c r="O186" s="2" t="s">
        <v>490</v>
      </c>
      <c r="P186" t="b">
        <v>0</v>
      </c>
    </row>
    <row r="187" spans="1:16" x14ac:dyDescent="0.25">
      <c r="A187" s="6">
        <v>182</v>
      </c>
      <c r="B187" s="6" t="b">
        <v>0</v>
      </c>
      <c r="C187" t="str">
        <f>_xlfn.LET(
_xlpm.FamilyName,IF(F187="","",F187)&amp;IF(G187="",""," "&amp;G187)&amp;IF(H187="",""," "&amp;H187),
_xlpm.MarriedName,IF(F187="","",F187)&amp;IF(G187="",""," "&amp;G187)&amp;IF(I187="",""," "&amp;I187)&amp;IF(H187="",""," "&amp;"("&amp;H187)&amp;")",
TRIM(IF(Index_of_People[[#This Row],[Prefer NickName]]=TRUE,Index_of_People[[#This Row],[Nick Names]],
IF(I187&lt;&gt;"",_xlpm.MarriedName,_xlpm.FamilyName))))</f>
        <v>Justin R</v>
      </c>
      <c r="D187" t="b">
        <v>1</v>
      </c>
      <c r="F187" t="s">
        <v>151</v>
      </c>
      <c r="H187" t="s">
        <v>380</v>
      </c>
      <c r="J187"/>
      <c r="K187" t="str">
        <f>IF(Index_of_People[[#This Row],[SpouseID]]="","",IFERROR(INDEX(Index_of_People[Metadata Name],MATCH(Index_of_People[[#This Row],[SpouseID]],Index_of_People[NameID],0)),""))</f>
        <v/>
      </c>
      <c r="L187" s="6"/>
      <c r="M187" s="2" t="s">
        <v>490</v>
      </c>
      <c r="N187" s="2" t="s">
        <v>490</v>
      </c>
      <c r="O187" s="2" t="s">
        <v>490</v>
      </c>
      <c r="P187" t="b">
        <v>0</v>
      </c>
    </row>
    <row r="188" spans="1:16" x14ac:dyDescent="0.25">
      <c r="A188" s="6">
        <v>183</v>
      </c>
      <c r="B188" s="6" t="b">
        <v>0</v>
      </c>
      <c r="C188" t="str">
        <f>_xlfn.LET(
_xlpm.FamilyName,IF(F188="","",F188)&amp;IF(G188="",""," "&amp;G188)&amp;IF(H188="",""," "&amp;H188),
_xlpm.MarriedName,IF(F188="","",F188)&amp;IF(G188="",""," "&amp;G188)&amp;IF(I188="",""," "&amp;I188)&amp;IF(H188="",""," "&amp;"("&amp;H188)&amp;")",
TRIM(IF(Index_of_People[[#This Row],[Prefer NickName]]=TRUE,Index_of_People[[#This Row],[Nick Names]],
IF(I188&lt;&gt;"",_xlpm.MarriedName,_xlpm.FamilyName))))</f>
        <v>Kade Hunter</v>
      </c>
      <c r="D188" t="b">
        <v>1</v>
      </c>
      <c r="F188" t="s">
        <v>152</v>
      </c>
      <c r="H188" t="s">
        <v>310</v>
      </c>
      <c r="J188"/>
      <c r="K188" t="str">
        <f>IF(Index_of_People[[#This Row],[SpouseID]]="","",IFERROR(INDEX(Index_of_People[Metadata Name],MATCH(Index_of_People[[#This Row],[SpouseID]],Index_of_People[NameID],0)),""))</f>
        <v/>
      </c>
      <c r="L188" s="6"/>
      <c r="M188" s="2" t="s">
        <v>490</v>
      </c>
      <c r="N188" s="2" t="s">
        <v>490</v>
      </c>
      <c r="O188" s="2" t="s">
        <v>490</v>
      </c>
      <c r="P188" t="b">
        <v>1</v>
      </c>
    </row>
    <row r="189" spans="1:16" x14ac:dyDescent="0.25">
      <c r="A189" s="6">
        <v>184</v>
      </c>
      <c r="B189" s="6" t="b">
        <v>0</v>
      </c>
      <c r="C189" t="str">
        <f>_xlfn.LET(
_xlpm.FamilyName,IF(F189="","",F189)&amp;IF(G189="",""," "&amp;G189)&amp;IF(H189="",""," "&amp;H189),
_xlpm.MarriedName,IF(F189="","",F189)&amp;IF(G189="",""," "&amp;G189)&amp;IF(I189="",""," "&amp;I189)&amp;IF(H189="",""," "&amp;"("&amp;H189)&amp;")",
TRIM(IF(Index_of_People[[#This Row],[Prefer NickName]]=TRUE,Index_of_People[[#This Row],[Nick Names]],
IF(I189&lt;&gt;"",_xlpm.MarriedName,_xlpm.FamilyName))))</f>
        <v>Kallie</v>
      </c>
      <c r="D189" t="b">
        <v>1</v>
      </c>
      <c r="F189" t="s">
        <v>28</v>
      </c>
      <c r="J189"/>
      <c r="K189" t="str">
        <f>IF(Index_of_People[[#This Row],[SpouseID]]="","",IFERROR(INDEX(Index_of_People[Metadata Name],MATCH(Index_of_People[[#This Row],[SpouseID]],Index_of_People[NameID],0)),""))</f>
        <v/>
      </c>
      <c r="L189" s="6"/>
      <c r="M189" s="2" t="s">
        <v>490</v>
      </c>
      <c r="N189" s="2" t="s">
        <v>490</v>
      </c>
      <c r="O189" s="2" t="s">
        <v>490</v>
      </c>
      <c r="P189" t="b">
        <v>0</v>
      </c>
    </row>
    <row r="190" spans="1:16" x14ac:dyDescent="0.25">
      <c r="A190" s="6">
        <v>185</v>
      </c>
      <c r="B190" s="6" t="b">
        <v>0</v>
      </c>
      <c r="C190" t="str">
        <f>_xlfn.LET(
_xlpm.FamilyName,IF(F190="","",F190)&amp;IF(G190="",""," "&amp;G190)&amp;IF(H190="",""," "&amp;H190),
_xlpm.MarriedName,IF(F190="","",F190)&amp;IF(G190="",""," "&amp;G190)&amp;IF(I190="",""," "&amp;I190)&amp;IF(H190="",""," "&amp;"("&amp;H190)&amp;")",
TRIM(IF(Index_of_People[[#This Row],[Prefer NickName]]=TRUE,Index_of_People[[#This Row],[Nick Names]],
IF(I190&lt;&gt;"",_xlpm.MarriedName,_xlpm.FamilyName))))</f>
        <v>Karen Bessell</v>
      </c>
      <c r="D190" t="b">
        <v>1</v>
      </c>
      <c r="F190" t="s">
        <v>153</v>
      </c>
      <c r="G190" t="s">
        <v>490</v>
      </c>
      <c r="H190" t="s">
        <v>355</v>
      </c>
      <c r="I190" t="s">
        <v>490</v>
      </c>
      <c r="J190" t="s">
        <v>490</v>
      </c>
      <c r="K190" t="str">
        <f>IF(Index_of_People[[#This Row],[SpouseID]]="","",IFERROR(INDEX(Index_of_People[Metadata Name],MATCH(Index_of_People[[#This Row],[SpouseID]],Index_of_People[NameID],0)),""))</f>
        <v/>
      </c>
      <c r="L190" s="6"/>
      <c r="M190" s="2" t="s">
        <v>490</v>
      </c>
      <c r="N190" s="2" t="s">
        <v>490</v>
      </c>
      <c r="O190" s="2" t="s">
        <v>490</v>
      </c>
      <c r="P190" t="b">
        <v>0</v>
      </c>
    </row>
    <row r="191" spans="1:16" x14ac:dyDescent="0.25">
      <c r="A191" s="6">
        <v>186</v>
      </c>
      <c r="B191" s="6" t="b">
        <v>0</v>
      </c>
      <c r="C191" t="str">
        <f>_xlfn.LET(
_xlpm.FamilyName,IF(F191="","",F191)&amp;IF(G191="",""," "&amp;G191)&amp;IF(H191="",""," "&amp;H191),
_xlpm.MarriedName,IF(F191="","",F191)&amp;IF(G191="",""," "&amp;G191)&amp;IF(I191="",""," "&amp;I191)&amp;IF(H191="",""," "&amp;"("&amp;H191)&amp;")",
TRIM(IF(Index_of_People[[#This Row],[Prefer NickName]]=TRUE,Index_of_People[[#This Row],[Nick Names]],
IF(I191&lt;&gt;"",_xlpm.MarriedName,_xlpm.FamilyName))))</f>
        <v>Karen Watson</v>
      </c>
      <c r="D191" t="b">
        <v>1</v>
      </c>
      <c r="F191" t="s">
        <v>153</v>
      </c>
      <c r="H191" t="s">
        <v>299</v>
      </c>
      <c r="J191"/>
      <c r="K191" t="str">
        <f>IF(Index_of_People[[#This Row],[SpouseID]]="","",IFERROR(INDEX(Index_of_People[Metadata Name],MATCH(Index_of_People[[#This Row],[SpouseID]],Index_of_People[NameID],0)),""))</f>
        <v/>
      </c>
      <c r="L191" s="6"/>
      <c r="M191" s="2" t="s">
        <v>490</v>
      </c>
      <c r="N191" s="2" t="s">
        <v>490</v>
      </c>
      <c r="O191" s="2" t="s">
        <v>490</v>
      </c>
      <c r="P191" t="b">
        <v>0</v>
      </c>
    </row>
    <row r="192" spans="1:16" x14ac:dyDescent="0.25">
      <c r="A192" s="6">
        <v>187</v>
      </c>
      <c r="B192" s="6" t="b">
        <v>0</v>
      </c>
      <c r="C192" t="str">
        <f>_xlfn.LET(
_xlpm.FamilyName,IF(F192="","",F192)&amp;IF(G192="",""," "&amp;G192)&amp;IF(H192="",""," "&amp;H192),
_xlpm.MarriedName,IF(F192="","",F192)&amp;IF(G192="",""," "&amp;G192)&amp;IF(I192="",""," "&amp;I192)&amp;IF(H192="",""," "&amp;"("&amp;H192)&amp;")",
TRIM(IF(Index_of_People[[#This Row],[Prefer NickName]]=TRUE,Index_of_People[[#This Row],[Nick Names]],
IF(I192&lt;&gt;"",_xlpm.MarriedName,_xlpm.FamilyName))))</f>
        <v>Kate Von Kanel</v>
      </c>
      <c r="D192" t="b">
        <v>1</v>
      </c>
      <c r="F192" t="s">
        <v>266</v>
      </c>
      <c r="H192" t="s">
        <v>455</v>
      </c>
      <c r="J192"/>
      <c r="K192" t="str">
        <f>IF(Index_of_People[[#This Row],[SpouseID]]="","",IFERROR(INDEX(Index_of_People[Metadata Name],MATCH(Index_of_People[[#This Row],[SpouseID]],Index_of_People[NameID],0)),""))</f>
        <v/>
      </c>
      <c r="L192" s="6"/>
      <c r="M192" s="2" t="s">
        <v>490</v>
      </c>
      <c r="N192" s="2" t="s">
        <v>490</v>
      </c>
      <c r="O192" s="2" t="s">
        <v>490</v>
      </c>
      <c r="P192" t="b">
        <v>0</v>
      </c>
    </row>
    <row r="193" spans="1:16" x14ac:dyDescent="0.25">
      <c r="A193" s="6">
        <v>188</v>
      </c>
      <c r="B193" s="6" t="b">
        <v>0</v>
      </c>
      <c r="C193" t="str">
        <f>_xlfn.LET(
_xlpm.FamilyName,IF(F193="","",F193)&amp;IF(G193="",""," "&amp;G193)&amp;IF(H193="",""," "&amp;H193),
_xlpm.MarriedName,IF(F193="","",F193)&amp;IF(G193="",""," "&amp;G193)&amp;IF(I193="",""," "&amp;I193)&amp;IF(H193="",""," "&amp;"("&amp;H193)&amp;")",
TRIM(IF(Index_of_People[[#This Row],[Prefer NickName]]=TRUE,Index_of_People[[#This Row],[Nick Names]],
IF(I193&lt;&gt;"",_xlpm.MarriedName,_xlpm.FamilyName))))</f>
        <v>Katie Blackett</v>
      </c>
      <c r="D193" t="b">
        <v>1</v>
      </c>
      <c r="F193" t="s">
        <v>154</v>
      </c>
      <c r="G193" t="s">
        <v>490</v>
      </c>
      <c r="H193" t="s">
        <v>381</v>
      </c>
      <c r="I193" t="s">
        <v>490</v>
      </c>
      <c r="J193" t="s">
        <v>490</v>
      </c>
      <c r="K193" t="str">
        <f>IF(Index_of_People[[#This Row],[SpouseID]]="","",IFERROR(INDEX(Index_of_People[Metadata Name],MATCH(Index_of_People[[#This Row],[SpouseID]],Index_of_People[NameID],0)),""))</f>
        <v/>
      </c>
      <c r="L193" s="6"/>
      <c r="M193" s="2" t="s">
        <v>490</v>
      </c>
      <c r="N193" s="2" t="s">
        <v>490</v>
      </c>
      <c r="O193" s="2" t="s">
        <v>490</v>
      </c>
      <c r="P193" t="b">
        <v>0</v>
      </c>
    </row>
    <row r="194" spans="1:16" x14ac:dyDescent="0.25">
      <c r="A194" s="6">
        <v>189</v>
      </c>
      <c r="B194" s="6" t="b">
        <v>0</v>
      </c>
      <c r="C194" t="str">
        <f>_xlfn.LET(
_xlpm.FamilyName,IF(F194="","",F194)&amp;IF(G194="",""," "&amp;G194)&amp;IF(H194="",""," "&amp;H194),
_xlpm.MarriedName,IF(F194="","",F194)&amp;IF(G194="",""," "&amp;G194)&amp;IF(I194="",""," "&amp;I194)&amp;IF(H194="",""," "&amp;"("&amp;H194)&amp;")",
TRIM(IF(Index_of_People[[#This Row],[Prefer NickName]]=TRUE,Index_of_People[[#This Row],[Nick Names]],
IF(I194&lt;&gt;"",_xlpm.MarriedName,_xlpm.FamilyName))))</f>
        <v>Katy Stedman</v>
      </c>
      <c r="D194" t="b">
        <v>1</v>
      </c>
      <c r="F194" t="s">
        <v>155</v>
      </c>
      <c r="H194" t="s">
        <v>382</v>
      </c>
      <c r="J194"/>
      <c r="K194" t="str">
        <f>IF(Index_of_People[[#This Row],[SpouseID]]="","",IFERROR(INDEX(Index_of_People[Metadata Name],MATCH(Index_of_People[[#This Row],[SpouseID]],Index_of_People[NameID],0)),""))</f>
        <v/>
      </c>
      <c r="L194" s="6"/>
      <c r="M194" s="2" t="s">
        <v>490</v>
      </c>
      <c r="N194" s="2" t="s">
        <v>490</v>
      </c>
      <c r="O194" s="2" t="s">
        <v>490</v>
      </c>
      <c r="P194" t="b">
        <v>0</v>
      </c>
    </row>
    <row r="195" spans="1:16" x14ac:dyDescent="0.25">
      <c r="A195" s="6">
        <v>190</v>
      </c>
      <c r="B195" s="6" t="b">
        <v>0</v>
      </c>
      <c r="C195" t="str">
        <f>_xlfn.LET(
_xlpm.FamilyName,IF(F195="","",F195)&amp;IF(G195="",""," "&amp;G195)&amp;IF(H195="",""," "&amp;H195),
_xlpm.MarriedName,IF(F195="","",F195)&amp;IF(G195="",""," "&amp;G195)&amp;IF(I195="",""," "&amp;I195)&amp;IF(H195="",""," "&amp;"("&amp;H195)&amp;")",
TRIM(IF(Index_of_People[[#This Row],[Prefer NickName]]=TRUE,Index_of_People[[#This Row],[Nick Names]],
IF(I195&lt;&gt;"",_xlpm.MarriedName,_xlpm.FamilyName))))</f>
        <v>Ken Bouvet</v>
      </c>
      <c r="D195" t="b">
        <v>1</v>
      </c>
      <c r="F195" t="s">
        <v>156</v>
      </c>
      <c r="G195" t="s">
        <v>490</v>
      </c>
      <c r="H195" t="s">
        <v>383</v>
      </c>
      <c r="I195" t="s">
        <v>490</v>
      </c>
      <c r="J195" t="s">
        <v>490</v>
      </c>
      <c r="K195" t="str">
        <f>IF(Index_of_People[[#This Row],[SpouseID]]="","",IFERROR(INDEX(Index_of_People[Metadata Name],MATCH(Index_of_People[[#This Row],[SpouseID]],Index_of_People[NameID],0)),""))</f>
        <v/>
      </c>
      <c r="L195" s="6"/>
      <c r="M195" s="2" t="s">
        <v>490</v>
      </c>
      <c r="N195" s="2" t="s">
        <v>490</v>
      </c>
      <c r="O195" s="2" t="s">
        <v>490</v>
      </c>
      <c r="P195" t="b">
        <v>0</v>
      </c>
    </row>
    <row r="196" spans="1:16" x14ac:dyDescent="0.25">
      <c r="A196" s="6">
        <v>191</v>
      </c>
      <c r="B196" s="6" t="b">
        <v>0</v>
      </c>
      <c r="C196" t="str">
        <f>_xlfn.LET(
_xlpm.FamilyName,IF(F196="","",F196)&amp;IF(G196="",""," "&amp;G196)&amp;IF(H196="",""," "&amp;H196),
_xlpm.MarriedName,IF(F196="","",F196)&amp;IF(G196="",""," "&amp;G196)&amp;IF(I196="",""," "&amp;I196)&amp;IF(H196="",""," "&amp;"("&amp;H196)&amp;")",
TRIM(IF(Index_of_People[[#This Row],[Prefer NickName]]=TRUE,Index_of_People[[#This Row],[Nick Names]],
IF(I196&lt;&gt;"",_xlpm.MarriedName,_xlpm.FamilyName))))</f>
        <v>Kent Bergstrom</v>
      </c>
      <c r="D196" t="b">
        <v>1</v>
      </c>
      <c r="F196" t="s">
        <v>12</v>
      </c>
      <c r="G196" t="s">
        <v>490</v>
      </c>
      <c r="H196" t="s">
        <v>384</v>
      </c>
      <c r="I196" t="s">
        <v>490</v>
      </c>
      <c r="J196" t="s">
        <v>490</v>
      </c>
      <c r="K196" t="str">
        <f>IF(Index_of_People[[#This Row],[SpouseID]]="","",IFERROR(INDEX(Index_of_People[Metadata Name],MATCH(Index_of_People[[#This Row],[SpouseID]],Index_of_People[NameID],0)),""))</f>
        <v/>
      </c>
      <c r="L196" s="6"/>
      <c r="M196" s="2" t="s">
        <v>490</v>
      </c>
      <c r="N196" s="2" t="s">
        <v>490</v>
      </c>
      <c r="O196" s="2" t="s">
        <v>490</v>
      </c>
      <c r="P196" t="b">
        <v>0</v>
      </c>
    </row>
    <row r="197" spans="1:16" x14ac:dyDescent="0.25">
      <c r="A197" s="6">
        <v>192</v>
      </c>
      <c r="B197" s="6" t="b">
        <v>0</v>
      </c>
      <c r="C197" t="str">
        <f>_xlfn.LET(
_xlpm.FamilyName,IF(F197="","",F197)&amp;IF(G197="",""," "&amp;G197)&amp;IF(H197="",""," "&amp;H197),
_xlpm.MarriedName,IF(F197="","",F197)&amp;IF(G197="",""," "&amp;G197)&amp;IF(I197="",""," "&amp;I197)&amp;IF(H197="",""," "&amp;"("&amp;H197)&amp;")",
TRIM(IF(Index_of_People[[#This Row],[Prefer NickName]]=TRUE,Index_of_People[[#This Row],[Nick Names]],
IF(I197&lt;&gt;"",_xlpm.MarriedName,_xlpm.FamilyName))))</f>
        <v>Kevin Baskin</v>
      </c>
      <c r="D197" t="b">
        <v>1</v>
      </c>
      <c r="F197" t="s">
        <v>157</v>
      </c>
      <c r="G197" t="s">
        <v>490</v>
      </c>
      <c r="H197" t="s">
        <v>385</v>
      </c>
      <c r="I197" t="s">
        <v>490</v>
      </c>
      <c r="J197" t="s">
        <v>490</v>
      </c>
      <c r="K197" t="str">
        <f>IF(Index_of_People[[#This Row],[SpouseID]]="","",IFERROR(INDEX(Index_of_People[Metadata Name],MATCH(Index_of_People[[#This Row],[SpouseID]],Index_of_People[NameID],0)),""))</f>
        <v/>
      </c>
      <c r="L197" s="6"/>
      <c r="M197" s="2" t="s">
        <v>490</v>
      </c>
      <c r="N197" s="2" t="s">
        <v>490</v>
      </c>
      <c r="O197" s="2" t="s">
        <v>490</v>
      </c>
      <c r="P197" t="b">
        <v>0</v>
      </c>
    </row>
    <row r="198" spans="1:16" x14ac:dyDescent="0.25">
      <c r="A198" s="6">
        <v>193</v>
      </c>
      <c r="B198" s="6" t="b">
        <v>0</v>
      </c>
      <c r="C198" t="str">
        <f>_xlfn.LET(
_xlpm.FamilyName,IF(F198="","",F198)&amp;IF(G198="",""," "&amp;G198)&amp;IF(H198="",""," "&amp;H198),
_xlpm.MarriedName,IF(F198="","",F198)&amp;IF(G198="",""," "&amp;G198)&amp;IF(I198="",""," "&amp;I198)&amp;IF(H198="",""," "&amp;"("&amp;H198)&amp;")",
TRIM(IF(Index_of_People[[#This Row],[Prefer NickName]]=TRUE,Index_of_People[[#This Row],[Nick Names]],
IF(I198&lt;&gt;"",_xlpm.MarriedName,_xlpm.FamilyName))))</f>
        <v>Kevin Richter</v>
      </c>
      <c r="D198" t="b">
        <v>1</v>
      </c>
      <c r="F198" t="s">
        <v>157</v>
      </c>
      <c r="H198" t="s">
        <v>386</v>
      </c>
      <c r="J198"/>
      <c r="K198" t="str">
        <f>IF(Index_of_People[[#This Row],[SpouseID]]="","",IFERROR(INDEX(Index_of_People[Metadata Name],MATCH(Index_of_People[[#This Row],[SpouseID]],Index_of_People[NameID],0)),""))</f>
        <v/>
      </c>
      <c r="L198" s="6"/>
      <c r="M198" s="2" t="s">
        <v>490</v>
      </c>
      <c r="N198" s="2" t="s">
        <v>490</v>
      </c>
      <c r="O198" s="2" t="s">
        <v>490</v>
      </c>
      <c r="P198" t="b">
        <v>0</v>
      </c>
    </row>
    <row r="199" spans="1:16" x14ac:dyDescent="0.25">
      <c r="A199" s="6">
        <v>194</v>
      </c>
      <c r="B199" s="6" t="b">
        <v>0</v>
      </c>
      <c r="C199" t="str">
        <f>_xlfn.LET(
_xlpm.FamilyName,IF(F199="","",F199)&amp;IF(G199="",""," "&amp;G199)&amp;IF(H199="",""," "&amp;H199),
_xlpm.MarriedName,IF(F199="","",F199)&amp;IF(G199="",""," "&amp;G199)&amp;IF(I199="",""," "&amp;I199)&amp;IF(H199="",""," "&amp;"("&amp;H199)&amp;")",
TRIM(IF(Index_of_People[[#This Row],[Prefer NickName]]=TRUE,Index_of_People[[#This Row],[Nick Names]],
IF(I199&lt;&gt;"",_xlpm.MarriedName,_xlpm.FamilyName))))</f>
        <v>Kezia Yeats</v>
      </c>
      <c r="D199" t="b">
        <v>1</v>
      </c>
      <c r="F199" t="s">
        <v>158</v>
      </c>
      <c r="H199" t="s">
        <v>387</v>
      </c>
      <c r="J199"/>
      <c r="K199" t="str">
        <f>IF(Index_of_People[[#This Row],[SpouseID]]="","",IFERROR(INDEX(Index_of_People[Metadata Name],MATCH(Index_of_People[[#This Row],[SpouseID]],Index_of_People[NameID],0)),""))</f>
        <v/>
      </c>
      <c r="L199" s="6"/>
      <c r="M199" s="2" t="s">
        <v>490</v>
      </c>
      <c r="N199" s="2" t="s">
        <v>490</v>
      </c>
      <c r="O199" s="2" t="s">
        <v>490</v>
      </c>
      <c r="P199" t="b">
        <v>0</v>
      </c>
    </row>
    <row r="200" spans="1:16" x14ac:dyDescent="0.25">
      <c r="A200" s="6">
        <v>195</v>
      </c>
      <c r="B200" s="6" t="b">
        <v>0</v>
      </c>
      <c r="C200" t="str">
        <f>_xlfn.LET(
_xlpm.FamilyName,IF(F200="","",F200)&amp;IF(G200="",""," "&amp;G200)&amp;IF(H200="",""," "&amp;H200),
_xlpm.MarriedName,IF(F200="","",F200)&amp;IF(G200="",""," "&amp;G200)&amp;IF(I200="",""," "&amp;I200)&amp;IF(H200="",""," "&amp;"("&amp;H200)&amp;")",
TRIM(IF(Index_of_People[[#This Row],[Prefer NickName]]=TRUE,Index_of_People[[#This Row],[Nick Names]],
IF(I200&lt;&gt;"",_xlpm.MarriedName,_xlpm.FamilyName))))</f>
        <v>Kisha Supernant</v>
      </c>
      <c r="D200" t="b">
        <v>1</v>
      </c>
      <c r="F200" t="s">
        <v>159</v>
      </c>
      <c r="H200" t="s">
        <v>388</v>
      </c>
      <c r="J200"/>
      <c r="K200" t="str">
        <f>IF(Index_of_People[[#This Row],[SpouseID]]="","",IFERROR(INDEX(Index_of_People[Metadata Name],MATCH(Index_of_People[[#This Row],[SpouseID]],Index_of_People[NameID],0)),""))</f>
        <v/>
      </c>
      <c r="L200" s="6"/>
      <c r="M200" s="2" t="s">
        <v>490</v>
      </c>
      <c r="N200" s="2" t="s">
        <v>490</v>
      </c>
      <c r="O200" s="2" t="s">
        <v>490</v>
      </c>
      <c r="P200" t="b">
        <v>0</v>
      </c>
    </row>
    <row r="201" spans="1:16" x14ac:dyDescent="0.25">
      <c r="A201" s="6">
        <v>196</v>
      </c>
      <c r="B201" s="6" t="b">
        <v>0</v>
      </c>
      <c r="C201" t="str">
        <f>_xlfn.LET(
_xlpm.FamilyName,IF(F201="","",F201)&amp;IF(G201="",""," "&amp;G201)&amp;IF(H201="",""," "&amp;H201),
_xlpm.MarriedName,IF(F201="","",F201)&amp;IF(G201="",""," "&amp;G201)&amp;IF(I201="",""," "&amp;I201)&amp;IF(H201="",""," "&amp;"("&amp;H201)&amp;")",
TRIM(IF(Index_of_People[[#This Row],[Prefer NickName]]=TRUE,Index_of_People[[#This Row],[Nick Names]],
IF(I201&lt;&gt;"",_xlpm.MarriedName,_xlpm.FamilyName))))</f>
        <v>Kristen Reimer</v>
      </c>
      <c r="D201" t="b">
        <v>1</v>
      </c>
      <c r="F201" t="s">
        <v>160</v>
      </c>
      <c r="H201" t="s">
        <v>389</v>
      </c>
      <c r="J201"/>
      <c r="K201" t="str">
        <f>IF(Index_of_People[[#This Row],[SpouseID]]="","",IFERROR(INDEX(Index_of_People[Metadata Name],MATCH(Index_of_People[[#This Row],[SpouseID]],Index_of_People[NameID],0)),""))</f>
        <v/>
      </c>
      <c r="L201" s="6"/>
      <c r="M201" s="2" t="s">
        <v>490</v>
      </c>
      <c r="N201" s="2" t="s">
        <v>490</v>
      </c>
      <c r="O201" s="2" t="s">
        <v>490</v>
      </c>
      <c r="P201" t="b">
        <v>0</v>
      </c>
    </row>
    <row r="202" spans="1:16" x14ac:dyDescent="0.25">
      <c r="A202" s="6">
        <v>197</v>
      </c>
      <c r="B202" s="6" t="b">
        <v>0</v>
      </c>
      <c r="C202" t="str">
        <f>_xlfn.LET(
_xlpm.FamilyName,IF(F202="","",F202)&amp;IF(G202="",""," "&amp;G202)&amp;IF(H202="",""," "&amp;H202),
_xlpm.MarriedName,IF(F202="","",F202)&amp;IF(G202="",""," "&amp;G202)&amp;IF(I202="",""," "&amp;I202)&amp;IF(H202="",""," "&amp;"("&amp;H202)&amp;")",
TRIM(IF(Index_of_People[[#This Row],[Prefer NickName]]=TRUE,Index_of_People[[#This Row],[Nick Names]],
IF(I202&lt;&gt;"",_xlpm.MarriedName,_xlpm.FamilyName))))</f>
        <v>Kyra Sheard</v>
      </c>
      <c r="D202" t="b">
        <v>0</v>
      </c>
      <c r="F202" t="s">
        <v>161</v>
      </c>
      <c r="H202" t="s">
        <v>319</v>
      </c>
      <c r="J202"/>
      <c r="K202" t="str">
        <f>IF(Index_of_People[[#This Row],[SpouseID]]="","",IFERROR(INDEX(Index_of_People[Metadata Name],MATCH(Index_of_People[[#This Row],[SpouseID]],Index_of_People[NameID],0)),""))</f>
        <v/>
      </c>
      <c r="L202" s="6"/>
      <c r="M202" s="2" t="s">
        <v>490</v>
      </c>
      <c r="N202" s="2" t="s">
        <v>490</v>
      </c>
      <c r="O202" s="2" t="s">
        <v>490</v>
      </c>
      <c r="P202" t="b">
        <v>0</v>
      </c>
    </row>
    <row r="203" spans="1:16" x14ac:dyDescent="0.25">
      <c r="A203" s="6">
        <v>198</v>
      </c>
      <c r="B203" s="6" t="b">
        <v>0</v>
      </c>
      <c r="C203" t="str">
        <f>_xlfn.LET(
_xlpm.FamilyName,IF(F203="","",F203)&amp;IF(G203="",""," "&amp;G203)&amp;IF(H203="",""," "&amp;H203),
_xlpm.MarriedName,IF(F203="","",F203)&amp;IF(G203="",""," "&amp;G203)&amp;IF(I203="",""," "&amp;I203)&amp;IF(H203="",""," "&amp;"("&amp;H203)&amp;")",
TRIM(IF(Index_of_People[[#This Row],[Prefer NickName]]=TRUE,Index_of_People[[#This Row],[Nick Names]],
IF(I203&lt;&gt;"",_xlpm.MarriedName,_xlpm.FamilyName))))</f>
        <v>Lara Grace Bailey</v>
      </c>
      <c r="D203" t="b">
        <v>1</v>
      </c>
      <c r="F203" t="s">
        <v>267</v>
      </c>
      <c r="G203" t="s">
        <v>390</v>
      </c>
      <c r="H203" t="s">
        <v>374</v>
      </c>
      <c r="J203"/>
      <c r="K203" t="str">
        <f>IF(Index_of_People[[#This Row],[SpouseID]]="","",IFERROR(INDEX(Index_of_People[Metadata Name],MATCH(Index_of_People[[#This Row],[SpouseID]],Index_of_People[NameID],0)),""))</f>
        <v/>
      </c>
      <c r="L203" s="6"/>
      <c r="M203" s="2" t="s">
        <v>490</v>
      </c>
      <c r="N203" s="2" t="s">
        <v>490</v>
      </c>
      <c r="O203" s="2" t="s">
        <v>490</v>
      </c>
      <c r="P203" t="b">
        <v>1</v>
      </c>
    </row>
    <row r="204" spans="1:16" x14ac:dyDescent="0.25">
      <c r="A204" s="6">
        <v>199</v>
      </c>
      <c r="B204" s="6" t="b">
        <v>0</v>
      </c>
      <c r="C204" t="str">
        <f>_xlfn.LET(
_xlpm.FamilyName,IF(F204="","",F204)&amp;IF(G204="",""," "&amp;G204)&amp;IF(H204="",""," "&amp;H204),
_xlpm.MarriedName,IF(F204="","",F204)&amp;IF(G204="",""," "&amp;G204)&amp;IF(I204="",""," "&amp;I204)&amp;IF(H204="",""," "&amp;"("&amp;H204)&amp;")",
TRIM(IF(Index_of_People[[#This Row],[Prefer NickName]]=TRUE,Index_of_People[[#This Row],[Nick Names]],
IF(I204&lt;&gt;"",_xlpm.MarriedName,_xlpm.FamilyName))))</f>
        <v>Leanne Smedley</v>
      </c>
      <c r="D204" t="b">
        <v>0</v>
      </c>
      <c r="F204" t="s">
        <v>162</v>
      </c>
      <c r="H204" t="s">
        <v>391</v>
      </c>
      <c r="J204"/>
      <c r="K204" t="str">
        <f>IF(Index_of_People[[#This Row],[SpouseID]]="","",IFERROR(INDEX(Index_of_People[Metadata Name],MATCH(Index_of_People[[#This Row],[SpouseID]],Index_of_People[NameID],0)),""))</f>
        <v/>
      </c>
      <c r="L204" s="6"/>
      <c r="M204" s="2" t="s">
        <v>490</v>
      </c>
      <c r="N204" s="2" t="s">
        <v>490</v>
      </c>
      <c r="O204" s="2" t="s">
        <v>490</v>
      </c>
      <c r="P204" t="b">
        <v>0</v>
      </c>
    </row>
    <row r="205" spans="1:16" x14ac:dyDescent="0.25">
      <c r="A205" s="6">
        <v>200</v>
      </c>
      <c r="B205" s="6" t="b">
        <v>0</v>
      </c>
      <c r="C205" t="str">
        <f>_xlfn.LET(
_xlpm.FamilyName,IF(F205="","",F205)&amp;IF(G205="",""," "&amp;G205)&amp;IF(H205="",""," "&amp;H205),
_xlpm.MarriedName,IF(F205="","",F205)&amp;IF(G205="",""," "&amp;G205)&amp;IF(I205="",""," "&amp;I205)&amp;IF(H205="",""," "&amp;"("&amp;H205)&amp;")",
TRIM(IF(Index_of_People[[#This Row],[Prefer NickName]]=TRUE,Index_of_People[[#This Row],[Nick Names]],
IF(I205&lt;&gt;"",_xlpm.MarriedName,_xlpm.FamilyName))))</f>
        <v>Lee Mills</v>
      </c>
      <c r="D205" t="b">
        <v>1</v>
      </c>
      <c r="F205" t="s">
        <v>163</v>
      </c>
      <c r="H205" t="s">
        <v>375</v>
      </c>
      <c r="J205"/>
      <c r="K205" t="str">
        <f>IF(Index_of_People[[#This Row],[SpouseID]]="","",IFERROR(INDEX(Index_of_People[Metadata Name],MATCH(Index_of_People[[#This Row],[SpouseID]],Index_of_People[NameID],0)),""))</f>
        <v/>
      </c>
      <c r="L205" s="6"/>
      <c r="M205" s="2" t="s">
        <v>490</v>
      </c>
      <c r="N205" s="2" t="s">
        <v>490</v>
      </c>
      <c r="O205" s="2" t="s">
        <v>490</v>
      </c>
      <c r="P205" t="b">
        <v>0</v>
      </c>
    </row>
    <row r="206" spans="1:16" x14ac:dyDescent="0.25">
      <c r="A206" s="6">
        <v>201</v>
      </c>
      <c r="B206" s="6" t="b">
        <v>0</v>
      </c>
      <c r="C206" s="12" t="str">
        <f>_xlfn.LET(
_xlpm.FamilyName,IF(F206="","",F206)&amp;IF(G206="",""," "&amp;G206)&amp;IF(H206="",""," "&amp;H206),
_xlpm.MarriedName,IF(F206="","",F206)&amp;IF(G206="",""," "&amp;G206)&amp;IF(I206="",""," "&amp;I206)&amp;IF(H206="",""," "&amp;"("&amp;H206)&amp;")",
TRIM(IF(Index_of_People[[#This Row],[Prefer NickName]]=TRUE,Index_of_People[[#This Row],[Nick Names]],
IF(I206&lt;&gt;"",_xlpm.MarriedName,_xlpm.FamilyName))))</f>
        <v>Leonard Edward Carey</v>
      </c>
      <c r="D206" s="12"/>
      <c r="F206" t="s">
        <v>164</v>
      </c>
      <c r="G206" t="s">
        <v>1545</v>
      </c>
      <c r="H206" t="s">
        <v>320</v>
      </c>
      <c r="K206" t="str">
        <f>IF(Index_of_People[[#This Row],[SpouseID]]="","",IFERROR(INDEX(Index_of_People[Metadata Name],MATCH(Index_of_People[[#This Row],[SpouseID]],Index_of_People[NameID],0)),""))</f>
        <v>Eileen Morford [Aunt Dot]</v>
      </c>
      <c r="L206" s="6">
        <v>96</v>
      </c>
      <c r="M206" s="2">
        <v>4137</v>
      </c>
      <c r="P206" t="b">
        <v>1</v>
      </c>
    </row>
    <row r="207" spans="1:16" x14ac:dyDescent="0.25">
      <c r="A207" s="6">
        <v>202</v>
      </c>
      <c r="B207" s="6" t="b">
        <v>0</v>
      </c>
      <c r="C207" t="str">
        <f>_xlfn.LET(
_xlpm.FamilyName,IF(F207="","",F207)&amp;IF(G207="",""," "&amp;G207)&amp;IF(H207="",""," "&amp;H207),
_xlpm.MarriedName,IF(F207="","",F207)&amp;IF(G207="",""," "&amp;G207)&amp;IF(I207="",""," "&amp;I207)&amp;IF(H207="",""," "&amp;"("&amp;H207)&amp;")",
TRIM(IF(Index_of_People[[#This Row],[Prefer NickName]]=TRUE,Index_of_People[[#This Row],[Nick Names]],
IF(I207&lt;&gt;"",_xlpm.MarriedName,_xlpm.FamilyName))))</f>
        <v>Leonard Sielecki</v>
      </c>
      <c r="D207" t="b">
        <v>1</v>
      </c>
      <c r="F207" t="s">
        <v>164</v>
      </c>
      <c r="H207" t="s">
        <v>392</v>
      </c>
      <c r="J207"/>
      <c r="K207" t="str">
        <f>IF(Index_of_People[[#This Row],[SpouseID]]="","",IFERROR(INDEX(Index_of_People[Metadata Name],MATCH(Index_of_People[[#This Row],[SpouseID]],Index_of_People[NameID],0)),""))</f>
        <v/>
      </c>
      <c r="L207" s="6"/>
      <c r="M207" s="2" t="s">
        <v>490</v>
      </c>
      <c r="N207" s="2" t="s">
        <v>490</v>
      </c>
      <c r="O207" s="2" t="s">
        <v>490</v>
      </c>
      <c r="P207" t="b">
        <v>0</v>
      </c>
    </row>
    <row r="208" spans="1:16" x14ac:dyDescent="0.25">
      <c r="A208" s="6">
        <v>203</v>
      </c>
      <c r="B208" s="6" t="b">
        <v>0</v>
      </c>
      <c r="C208" t="str">
        <f>_xlfn.LET(
_xlpm.FamilyName,IF(F208="","",F208)&amp;IF(G208="",""," "&amp;G208)&amp;IF(H208="",""," "&amp;H208),
_xlpm.MarriedName,IF(F208="","",F208)&amp;IF(G208="",""," "&amp;G208)&amp;IF(I208="",""," "&amp;I208)&amp;IF(H208="",""," "&amp;"("&amp;H208)&amp;")",
TRIM(IF(Index_of_People[[#This Row],[Prefer NickName]]=TRUE,Index_of_People[[#This Row],[Nick Names]],
IF(I208&lt;&gt;"",_xlpm.MarriedName,_xlpm.FamilyName))))</f>
        <v>Leslie</v>
      </c>
      <c r="D208" t="b">
        <v>0</v>
      </c>
      <c r="F208" t="s">
        <v>165</v>
      </c>
      <c r="J208" t="s">
        <v>114</v>
      </c>
      <c r="K208" t="str">
        <f>IF(Index_of_People[[#This Row],[SpouseID]]="","",IFERROR(INDEX(Index_of_People[Metadata Name],MATCH(Index_of_People[[#This Row],[SpouseID]],Index_of_People[NameID],0)),""))</f>
        <v/>
      </c>
      <c r="L208" s="6"/>
      <c r="M208" s="2" t="s">
        <v>490</v>
      </c>
      <c r="N208" s="2" t="s">
        <v>490</v>
      </c>
      <c r="O208" s="2" t="s">
        <v>490</v>
      </c>
      <c r="P208" t="b">
        <v>0</v>
      </c>
    </row>
    <row r="209" spans="1:16" x14ac:dyDescent="0.25">
      <c r="A209" s="6">
        <v>204</v>
      </c>
      <c r="B209" s="6" t="b">
        <v>0</v>
      </c>
      <c r="C209" t="str">
        <f>_xlfn.LET(
_xlpm.FamilyName,IF(F209="","",F209)&amp;IF(G209="",""," "&amp;G209)&amp;IF(H209="",""," "&amp;H209),
_xlpm.MarriedName,IF(F209="","",F209)&amp;IF(G209="",""," "&amp;G209)&amp;IF(I209="",""," "&amp;I209)&amp;IF(H209="",""," "&amp;"("&amp;H209)&amp;")",
TRIM(IF(Index_of_People[[#This Row],[Prefer NickName]]=TRUE,Index_of_People[[#This Row],[Nick Names]],
IF(I209&lt;&gt;"",_xlpm.MarriedName,_xlpm.FamilyName))))</f>
        <v>Leslie Glover</v>
      </c>
      <c r="D209" t="b">
        <v>1</v>
      </c>
      <c r="F209" t="s">
        <v>165</v>
      </c>
      <c r="H209" t="s">
        <v>315</v>
      </c>
      <c r="J209"/>
      <c r="K209" t="str">
        <f>IF(Index_of_People[[#This Row],[SpouseID]]="","",IFERROR(INDEX(Index_of_People[Metadata Name],MATCH(Index_of_People[[#This Row],[SpouseID]],Index_of_People[NameID],0)),""))</f>
        <v/>
      </c>
      <c r="L209" s="6"/>
      <c r="M209" s="2" t="s">
        <v>490</v>
      </c>
      <c r="N209" s="2" t="s">
        <v>490</v>
      </c>
      <c r="O209" s="2" t="s">
        <v>490</v>
      </c>
      <c r="P209" t="b">
        <v>1</v>
      </c>
    </row>
    <row r="210" spans="1:16" x14ac:dyDescent="0.25">
      <c r="A210" s="6">
        <v>205</v>
      </c>
      <c r="B210" s="6" t="b">
        <v>0</v>
      </c>
      <c r="C210" t="str">
        <f>_xlfn.LET(
_xlpm.FamilyName,IF(F210="","",F210)&amp;IF(G210="",""," "&amp;G210)&amp;IF(H210="",""," "&amp;H210),
_xlpm.MarriedName,IF(F210="","",F210)&amp;IF(G210="",""," "&amp;G210)&amp;IF(I210="",""," "&amp;I210)&amp;IF(H210="",""," "&amp;"("&amp;H210)&amp;")",
TRIM(IF(Index_of_People[[#This Row],[Prefer NickName]]=TRUE,Index_of_People[[#This Row],[Nick Names]],
IF(I210&lt;&gt;"",_xlpm.MarriedName,_xlpm.FamilyName))))</f>
        <v>Liam Peter Penner</v>
      </c>
      <c r="D210" t="b">
        <v>1</v>
      </c>
      <c r="F210" t="s">
        <v>268</v>
      </c>
      <c r="G210" t="s">
        <v>194</v>
      </c>
      <c r="H210" t="s">
        <v>295</v>
      </c>
      <c r="J210"/>
      <c r="K210" t="str">
        <f>IF(Index_of_People[[#This Row],[SpouseID]]="","",IFERROR(INDEX(Index_of_People[Metadata Name],MATCH(Index_of_People[[#This Row],[SpouseID]],Index_of_People[NameID],0)),""))</f>
        <v/>
      </c>
      <c r="L210" s="6"/>
      <c r="M210" s="2">
        <v>40722</v>
      </c>
      <c r="P210" t="b">
        <v>1</v>
      </c>
    </row>
    <row r="211" spans="1:16" x14ac:dyDescent="0.25">
      <c r="A211" s="6">
        <v>206</v>
      </c>
      <c r="B211" s="6" t="b">
        <v>0</v>
      </c>
      <c r="C211" t="str">
        <f>_xlfn.LET(
_xlpm.FamilyName,IF(F211="","",F211)&amp;IF(G211="",""," "&amp;G211)&amp;IF(H211="",""," "&amp;H211),
_xlpm.MarriedName,IF(F211="","",F211)&amp;IF(G211="",""," "&amp;G211)&amp;IF(I211="",""," "&amp;I211)&amp;IF(H211="",""," "&amp;"("&amp;H211)&amp;")",
TRIM(IF(Index_of_People[[#This Row],[Prefer NickName]]=TRUE,Index_of_People[[#This Row],[Nick Names]],
IF(I211&lt;&gt;"",_xlpm.MarriedName,_xlpm.FamilyName))))</f>
        <v>Liav Gold (Brenda)</v>
      </c>
      <c r="D211" t="b">
        <v>0</v>
      </c>
      <c r="F211" t="s">
        <v>269</v>
      </c>
      <c r="G211" t="s">
        <v>490</v>
      </c>
      <c r="H211" t="s">
        <v>241</v>
      </c>
      <c r="I211" t="s">
        <v>393</v>
      </c>
      <c r="J211" t="s">
        <v>490</v>
      </c>
      <c r="K211" t="str">
        <f>IF(Index_of_People[[#This Row],[SpouseID]]="","",IFERROR(INDEX(Index_of_People[Metadata Name],MATCH(Index_of_People[[#This Row],[SpouseID]],Index_of_People[NameID],0)),""))</f>
        <v/>
      </c>
      <c r="L211" s="6"/>
      <c r="M211" s="2" t="s">
        <v>490</v>
      </c>
      <c r="N211" s="2" t="s">
        <v>490</v>
      </c>
      <c r="O211" s="2" t="s">
        <v>490</v>
      </c>
      <c r="P211" t="b">
        <v>0</v>
      </c>
    </row>
    <row r="212" spans="1:16" x14ac:dyDescent="0.25">
      <c r="A212" s="6">
        <v>207</v>
      </c>
      <c r="B212" s="6" t="b">
        <v>0</v>
      </c>
      <c r="C212" t="str">
        <f>_xlfn.LET(
_xlpm.FamilyName,IF(F212="","",F212)&amp;IF(G212="",""," "&amp;G212)&amp;IF(H212="",""," "&amp;H212),
_xlpm.MarriedName,IF(F212="","",F212)&amp;IF(G212="",""," "&amp;G212)&amp;IF(I212="",""," "&amp;I212)&amp;IF(H212="",""," "&amp;"("&amp;H212)&amp;")",
TRIM(IF(Index_of_People[[#This Row],[Prefer NickName]]=TRUE,Index_of_People[[#This Row],[Nick Names]],
IF(I212&lt;&gt;"",_xlpm.MarriedName,_xlpm.FamilyName))))</f>
        <v>Likas</v>
      </c>
      <c r="D212" t="b">
        <v>0</v>
      </c>
      <c r="F212" t="s">
        <v>166</v>
      </c>
      <c r="J212" t="s">
        <v>495</v>
      </c>
      <c r="K212" t="str">
        <f>IF(Index_of_People[[#This Row],[SpouseID]]="","",IFERROR(INDEX(Index_of_People[Metadata Name],MATCH(Index_of_People[[#This Row],[SpouseID]],Index_of_People[NameID],0)),""))</f>
        <v/>
      </c>
      <c r="L212" s="6"/>
      <c r="M212" s="2" t="s">
        <v>490</v>
      </c>
      <c r="N212" s="2" t="s">
        <v>490</v>
      </c>
      <c r="O212" s="2" t="s">
        <v>490</v>
      </c>
      <c r="P212" t="b">
        <v>0</v>
      </c>
    </row>
    <row r="213" spans="1:16" x14ac:dyDescent="0.25">
      <c r="A213" s="6">
        <v>208</v>
      </c>
      <c r="B213" s="6" t="b">
        <v>0</v>
      </c>
      <c r="C213" t="str">
        <f>_xlfn.LET(
_xlpm.FamilyName,IF(F213="","",F213)&amp;IF(G213="",""," "&amp;G213)&amp;IF(H213="",""," "&amp;H213),
_xlpm.MarriedName,IF(F213="","",F213)&amp;IF(G213="",""," "&amp;G213)&amp;IF(I213="",""," "&amp;I213)&amp;IF(H213="",""," "&amp;"("&amp;H213)&amp;")",
TRIM(IF(Index_of_People[[#This Row],[Prefer NickName]]=TRUE,Index_of_People[[#This Row],[Nick Names]],
IF(I213&lt;&gt;"",_xlpm.MarriedName,_xlpm.FamilyName))))</f>
        <v>Linda Jane Wardle</v>
      </c>
      <c r="D213" t="b">
        <v>1</v>
      </c>
      <c r="F213" t="s">
        <v>167</v>
      </c>
      <c r="G213" t="s">
        <v>394</v>
      </c>
      <c r="H213" t="s">
        <v>305</v>
      </c>
      <c r="J213"/>
      <c r="K213" t="str">
        <f>IF(Index_of_People[[#This Row],[SpouseID]]="","",IFERROR(INDEX(Index_of_People[Metadata Name],MATCH(Index_of_People[[#This Row],[SpouseID]],Index_of_People[NameID],0)),""))</f>
        <v/>
      </c>
      <c r="L213" s="6"/>
      <c r="M213" s="2">
        <v>23450</v>
      </c>
      <c r="P213" t="b">
        <v>1</v>
      </c>
    </row>
    <row r="214" spans="1:16" x14ac:dyDescent="0.25">
      <c r="A214" s="6">
        <v>209</v>
      </c>
      <c r="B214" s="6" t="b">
        <v>0</v>
      </c>
      <c r="C214" t="str">
        <f>_xlfn.LET(
_xlpm.FamilyName,IF(F214="","",F214)&amp;IF(G214="",""," "&amp;G214)&amp;IF(H214="",""," "&amp;H214),
_xlpm.MarriedName,IF(F214="","",F214)&amp;IF(G214="",""," "&amp;G214)&amp;IF(I214="",""," "&amp;I214)&amp;IF(H214="",""," "&amp;"("&amp;H214)&amp;")",
TRIM(IF(Index_of_People[[#This Row],[Prefer NickName]]=TRUE,Index_of_People[[#This Row],[Nick Names]],
IF(I214&lt;&gt;"",_xlpm.MarriedName,_xlpm.FamilyName))))</f>
        <v>Linda Njume</v>
      </c>
      <c r="D214" t="b">
        <v>1</v>
      </c>
      <c r="F214" t="s">
        <v>167</v>
      </c>
      <c r="H214" t="s">
        <v>298</v>
      </c>
      <c r="J214"/>
      <c r="K214" t="str">
        <f>IF(Index_of_People[[#This Row],[SpouseID]]="","",IFERROR(INDEX(Index_of_People[Metadata Name],MATCH(Index_of_People[[#This Row],[SpouseID]],Index_of_People[NameID],0)),""))</f>
        <v/>
      </c>
      <c r="L214" s="6"/>
      <c r="M214" s="2" t="s">
        <v>490</v>
      </c>
      <c r="N214" s="2" t="s">
        <v>490</v>
      </c>
      <c r="O214" s="2" t="s">
        <v>490</v>
      </c>
      <c r="P214" t="b">
        <v>0</v>
      </c>
    </row>
    <row r="215" spans="1:16" x14ac:dyDescent="0.25">
      <c r="A215" s="6">
        <v>210</v>
      </c>
      <c r="B215" s="6" t="b">
        <v>0</v>
      </c>
      <c r="C215" t="str">
        <f>_xlfn.LET(
_xlpm.FamilyName,IF(F215="","",F215)&amp;IF(G215="",""," "&amp;G215)&amp;IF(H215="",""," "&amp;H215),
_xlpm.MarriedName,IF(F215="","",F215)&amp;IF(G215="",""," "&amp;G215)&amp;IF(I215="",""," "&amp;I215)&amp;IF(H215="",""," "&amp;"("&amp;H215)&amp;")",
TRIM(IF(Index_of_People[[#This Row],[Prefer NickName]]=TRUE,Index_of_People[[#This Row],[Nick Names]],
IF(I215&lt;&gt;"",_xlpm.MarriedName,_xlpm.FamilyName))))</f>
        <v>Linda Rand (Carey)</v>
      </c>
      <c r="D215" t="b">
        <v>1</v>
      </c>
      <c r="F215" t="s">
        <v>167</v>
      </c>
      <c r="H215" t="s">
        <v>320</v>
      </c>
      <c r="I215" t="s">
        <v>357</v>
      </c>
      <c r="J215"/>
      <c r="K215" t="str">
        <f>IF(Index_of_People[[#This Row],[SpouseID]]="","",IFERROR(INDEX(Index_of_People[Metadata Name],MATCH(Index_of_People[[#This Row],[SpouseID]],Index_of_People[NameID],0)),""))</f>
        <v>Glenn Rand</v>
      </c>
      <c r="L215" s="6">
        <v>123</v>
      </c>
      <c r="M215" s="2" t="s">
        <v>490</v>
      </c>
      <c r="N215" s="2" t="s">
        <v>490</v>
      </c>
      <c r="O215" s="2" t="s">
        <v>490</v>
      </c>
      <c r="P215" t="b">
        <v>1</v>
      </c>
    </row>
    <row r="216" spans="1:16" x14ac:dyDescent="0.25">
      <c r="A216" s="6">
        <v>211</v>
      </c>
      <c r="B216" s="6" t="b">
        <v>0</v>
      </c>
      <c r="C216" t="str">
        <f>_xlfn.LET(
_xlpm.FamilyName,IF(F216="","",F216)&amp;IF(G216="",""," "&amp;G216)&amp;IF(H216="",""," "&amp;H216),
_xlpm.MarriedName,IF(F216="","",F216)&amp;IF(G216="",""," "&amp;G216)&amp;IF(I216="",""," "&amp;I216)&amp;IF(H216="",""," "&amp;"("&amp;H216)&amp;")",
TRIM(IF(Index_of_People[[#This Row],[Prefer NickName]]=TRUE,Index_of_People[[#This Row],[Nick Names]],
IF(I216&lt;&gt;"",_xlpm.MarriedName,_xlpm.FamilyName))))</f>
        <v>Linda Ross</v>
      </c>
      <c r="D216" t="b">
        <v>1</v>
      </c>
      <c r="F216" t="s">
        <v>167</v>
      </c>
      <c r="H216" t="s">
        <v>351</v>
      </c>
      <c r="J216"/>
      <c r="K216" t="str">
        <f>IF(Index_of_People[[#This Row],[SpouseID]]="","",IFERROR(INDEX(Index_of_People[Metadata Name],MATCH(Index_of_People[[#This Row],[SpouseID]],Index_of_People[NameID],0)),""))</f>
        <v/>
      </c>
      <c r="L216" s="6"/>
      <c r="M216" s="2" t="s">
        <v>490</v>
      </c>
      <c r="N216" s="2" t="s">
        <v>490</v>
      </c>
      <c r="O216" s="2" t="s">
        <v>490</v>
      </c>
      <c r="P216" t="b">
        <v>0</v>
      </c>
    </row>
    <row r="217" spans="1:16" x14ac:dyDescent="0.25">
      <c r="A217" s="6">
        <v>212</v>
      </c>
      <c r="B217" s="6" t="b">
        <v>0</v>
      </c>
      <c r="C217" t="str">
        <f>_xlfn.LET(
_xlpm.FamilyName,IF(F217="","",F217)&amp;IF(G217="",""," "&amp;G217)&amp;IF(H217="",""," "&amp;H217),
_xlpm.MarriedName,IF(F217="","",F217)&amp;IF(G217="",""," "&amp;G217)&amp;IF(I217="",""," "&amp;I217)&amp;IF(H217="",""," "&amp;"("&amp;H217)&amp;")",
TRIM(IF(Index_of_People[[#This Row],[Prefer NickName]]=TRUE,Index_of_People[[#This Row],[Nick Names]],
IF(I217&lt;&gt;"",_xlpm.MarriedName,_xlpm.FamilyName))))</f>
        <v>Lionel Cai</v>
      </c>
      <c r="D217" t="b">
        <v>1</v>
      </c>
      <c r="F217" t="s">
        <v>168</v>
      </c>
      <c r="G217" t="s">
        <v>490</v>
      </c>
      <c r="H217" t="s">
        <v>395</v>
      </c>
      <c r="I217" t="s">
        <v>490</v>
      </c>
      <c r="J217" t="s">
        <v>490</v>
      </c>
      <c r="K217" t="str">
        <f>IF(Index_of_People[[#This Row],[SpouseID]]="","",IFERROR(INDEX(Index_of_People[Metadata Name],MATCH(Index_of_People[[#This Row],[SpouseID]],Index_of_People[NameID],0)),""))</f>
        <v/>
      </c>
      <c r="L217" s="6"/>
      <c r="M217" s="2" t="s">
        <v>490</v>
      </c>
      <c r="N217" s="2" t="s">
        <v>490</v>
      </c>
      <c r="O217" s="2" t="s">
        <v>490</v>
      </c>
      <c r="P217" t="b">
        <v>0</v>
      </c>
    </row>
    <row r="218" spans="1:16" x14ac:dyDescent="0.25">
      <c r="A218" s="6">
        <v>213</v>
      </c>
      <c r="B218" s="6" t="b">
        <v>0</v>
      </c>
      <c r="C218" t="str">
        <f>_xlfn.LET(
_xlpm.FamilyName,IF(F218="","",F218)&amp;IF(G218="",""," "&amp;G218)&amp;IF(H218="",""," "&amp;H218),
_xlpm.MarriedName,IF(F218="","",F218)&amp;IF(G218="",""," "&amp;G218)&amp;IF(I218="",""," "&amp;I218)&amp;IF(H218="",""," "&amp;"("&amp;H218)&amp;")",
TRIM(IF(Index_of_People[[#This Row],[Prefer NickName]]=TRUE,Index_of_People[[#This Row],[Nick Names]],
IF(I218&lt;&gt;"",_xlpm.MarriedName,_xlpm.FamilyName))))</f>
        <v>Liz Ross</v>
      </c>
      <c r="D218" t="b">
        <v>0</v>
      </c>
      <c r="F218" t="s">
        <v>169</v>
      </c>
      <c r="H218" t="s">
        <v>351</v>
      </c>
      <c r="J218"/>
      <c r="K218" t="str">
        <f>IF(Index_of_People[[#This Row],[SpouseID]]="","",IFERROR(INDEX(Index_of_People[Metadata Name],MATCH(Index_of_People[[#This Row],[SpouseID]],Index_of_People[NameID],0)),""))</f>
        <v/>
      </c>
      <c r="L218" s="6"/>
      <c r="M218" s="2" t="s">
        <v>490</v>
      </c>
      <c r="N218" s="2" t="s">
        <v>490</v>
      </c>
      <c r="O218" s="2" t="s">
        <v>490</v>
      </c>
      <c r="P218" t="b">
        <v>0</v>
      </c>
    </row>
    <row r="219" spans="1:16" x14ac:dyDescent="0.25">
      <c r="A219" s="6">
        <v>214</v>
      </c>
      <c r="B219" s="6" t="b">
        <v>0</v>
      </c>
      <c r="C219" t="str">
        <f>_xlfn.LET(
_xlpm.FamilyName,IF(F219="","",F219)&amp;IF(G219="",""," "&amp;G219)&amp;IF(H219="",""," "&amp;H219),
_xlpm.MarriedName,IF(F219="","",F219)&amp;IF(G219="",""," "&amp;G219)&amp;IF(I219="",""," "&amp;I219)&amp;IF(H219="",""," "&amp;"("&amp;H219)&amp;")",
TRIM(IF(Index_of_People[[#This Row],[Prefer NickName]]=TRUE,Index_of_People[[#This Row],[Nick Names]],
IF(I219&lt;&gt;"",_xlpm.MarriedName,_xlpm.FamilyName))))</f>
        <v>lois Vickery</v>
      </c>
      <c r="D219" t="b">
        <v>1</v>
      </c>
      <c r="F219" t="s">
        <v>170</v>
      </c>
      <c r="H219" t="s">
        <v>396</v>
      </c>
      <c r="J219"/>
      <c r="K219" t="str">
        <f>IF(Index_of_People[[#This Row],[SpouseID]]="","",IFERROR(INDEX(Index_of_People[Metadata Name],MATCH(Index_of_People[[#This Row],[SpouseID]],Index_of_People[NameID],0)),""))</f>
        <v/>
      </c>
      <c r="L219" s="6"/>
      <c r="M219" s="2" t="s">
        <v>490</v>
      </c>
      <c r="N219" s="2" t="s">
        <v>490</v>
      </c>
      <c r="O219" s="2" t="s">
        <v>490</v>
      </c>
      <c r="P219" t="b">
        <v>0</v>
      </c>
    </row>
    <row r="220" spans="1:16" x14ac:dyDescent="0.25">
      <c r="A220" s="6">
        <v>215</v>
      </c>
      <c r="B220" s="6" t="b">
        <v>0</v>
      </c>
      <c r="C220" t="str">
        <f>_xlfn.LET(
_xlpm.FamilyName,IF(F220="","",F220)&amp;IF(G220="",""," "&amp;G220)&amp;IF(H220="",""," "&amp;H220),
_xlpm.MarriedName,IF(F220="","",F220)&amp;IF(G220="",""," "&amp;G220)&amp;IF(I220="",""," "&amp;I220)&amp;IF(H220="",""," "&amp;"("&amp;H220)&amp;")",
TRIM(IF(Index_of_People[[#This Row],[Prefer NickName]]=TRUE,Index_of_People[[#This Row],[Nick Names]],
IF(I220&lt;&gt;"",_xlpm.MarriedName,_xlpm.FamilyName))))</f>
        <v>Louise Cole</v>
      </c>
      <c r="D220" t="b">
        <v>0</v>
      </c>
      <c r="F220" t="s">
        <v>171</v>
      </c>
      <c r="G220" t="s">
        <v>490</v>
      </c>
      <c r="H220" t="s">
        <v>397</v>
      </c>
      <c r="I220" t="s">
        <v>490</v>
      </c>
      <c r="J220" t="s">
        <v>490</v>
      </c>
      <c r="K220" t="str">
        <f>IF(Index_of_People[[#This Row],[SpouseID]]="","",IFERROR(INDEX(Index_of_People[Metadata Name],MATCH(Index_of_People[[#This Row],[SpouseID]],Index_of_People[NameID],0)),""))</f>
        <v/>
      </c>
      <c r="L220" s="6"/>
      <c r="M220" s="2" t="s">
        <v>490</v>
      </c>
      <c r="N220" s="2" t="s">
        <v>490</v>
      </c>
      <c r="O220" s="2" t="s">
        <v>490</v>
      </c>
      <c r="P220" t="b">
        <v>0</v>
      </c>
    </row>
    <row r="221" spans="1:16" x14ac:dyDescent="0.25">
      <c r="A221" s="6">
        <v>216</v>
      </c>
      <c r="B221" s="6" t="b">
        <v>0</v>
      </c>
      <c r="C221" t="str">
        <f>_xlfn.LET(
_xlpm.FamilyName,IF(F221="","",F221)&amp;IF(G221="",""," "&amp;G221)&amp;IF(H221="",""," "&amp;H221),
_xlpm.MarriedName,IF(F221="","",F221)&amp;IF(G221="",""," "&amp;G221)&amp;IF(I221="",""," "&amp;I221)&amp;IF(H221="",""," "&amp;"("&amp;H221)&amp;")",
TRIM(IF(Index_of_People[[#This Row],[Prefer NickName]]=TRUE,Index_of_People[[#This Row],[Nick Names]],
IF(I221&lt;&gt;"",_xlpm.MarriedName,_xlpm.FamilyName))))</f>
        <v>Madison Glover</v>
      </c>
      <c r="D221" t="b">
        <v>1</v>
      </c>
      <c r="F221" t="s">
        <v>173</v>
      </c>
      <c r="H221" t="s">
        <v>315</v>
      </c>
      <c r="J221"/>
      <c r="K221" t="str">
        <f>IF(Index_of_People[[#This Row],[SpouseID]]="","",IFERROR(INDEX(Index_of_People[Metadata Name],MATCH(Index_of_People[[#This Row],[SpouseID]],Index_of_People[NameID],0)),""))</f>
        <v/>
      </c>
      <c r="L221" s="6"/>
      <c r="M221" s="2" t="s">
        <v>490</v>
      </c>
      <c r="N221" s="2" t="s">
        <v>490</v>
      </c>
      <c r="O221" s="2" t="s">
        <v>490</v>
      </c>
      <c r="P221" t="b">
        <v>1</v>
      </c>
    </row>
    <row r="222" spans="1:16" x14ac:dyDescent="0.25">
      <c r="A222" s="6">
        <v>217</v>
      </c>
      <c r="B222" s="6" t="b">
        <v>0</v>
      </c>
      <c r="C222" t="str">
        <f>_xlfn.LET(
_xlpm.FamilyName,IF(F222="","",F222)&amp;IF(G222="",""," "&amp;G222)&amp;IF(H222="",""," "&amp;H222),
_xlpm.MarriedName,IF(F222="","",F222)&amp;IF(G222="",""," "&amp;G222)&amp;IF(I222="",""," "&amp;I222)&amp;IF(H222="",""," "&amp;"("&amp;H222)&amp;")",
TRIM(IF(Index_of_People[[#This Row],[Prefer NickName]]=TRUE,Index_of_People[[#This Row],[Nick Names]],
IF(I222&lt;&gt;"",_xlpm.MarriedName,_xlpm.FamilyName))))</f>
        <v>Mahia</v>
      </c>
      <c r="D222" t="b">
        <v>1</v>
      </c>
      <c r="F222" t="s">
        <v>53</v>
      </c>
      <c r="J222"/>
      <c r="K222" t="str">
        <f>IF(Index_of_People[[#This Row],[SpouseID]]="","",IFERROR(INDEX(Index_of_People[Metadata Name],MATCH(Index_of_People[[#This Row],[SpouseID]],Index_of_People[NameID],0)),""))</f>
        <v/>
      </c>
      <c r="L222" s="6"/>
      <c r="M222" s="2" t="s">
        <v>490</v>
      </c>
      <c r="N222" s="2" t="s">
        <v>490</v>
      </c>
      <c r="O222" s="2" t="s">
        <v>490</v>
      </c>
      <c r="P222" t="b">
        <v>0</v>
      </c>
    </row>
    <row r="223" spans="1:16" x14ac:dyDescent="0.25">
      <c r="A223" s="6">
        <v>218</v>
      </c>
      <c r="B223" s="6" t="b">
        <v>0</v>
      </c>
      <c r="C223" t="str">
        <f>_xlfn.LET(
_xlpm.FamilyName,IF(F223="","",F223)&amp;IF(G223="",""," "&amp;G223)&amp;IF(H223="",""," "&amp;H223),
_xlpm.MarriedName,IF(F223="","",F223)&amp;IF(G223="",""," "&amp;G223)&amp;IF(I223="",""," "&amp;I223)&amp;IF(H223="",""," "&amp;"("&amp;H223)&amp;")",
TRIM(IF(Index_of_People[[#This Row],[Prefer NickName]]=TRUE,Index_of_People[[#This Row],[Nick Names]],
IF(I223&lt;&gt;"",_xlpm.MarriedName,_xlpm.FamilyName))))</f>
        <v>Mallumut</v>
      </c>
      <c r="D223" t="b">
        <v>1</v>
      </c>
      <c r="F223" t="s">
        <v>20</v>
      </c>
      <c r="J223"/>
      <c r="K223" t="str">
        <f>IF(Index_of_People[[#This Row],[SpouseID]]="","",IFERROR(INDEX(Index_of_People[Metadata Name],MATCH(Index_of_People[[#This Row],[SpouseID]],Index_of_People[NameID],0)),""))</f>
        <v/>
      </c>
      <c r="L223" s="6"/>
      <c r="M223" s="2" t="s">
        <v>490</v>
      </c>
      <c r="N223" s="2" t="s">
        <v>490</v>
      </c>
      <c r="O223" s="2" t="s">
        <v>490</v>
      </c>
      <c r="P223" t="b">
        <v>0</v>
      </c>
    </row>
    <row r="224" spans="1:16" x14ac:dyDescent="0.25">
      <c r="A224" s="6">
        <v>219</v>
      </c>
      <c r="B224" s="6" t="b">
        <v>0</v>
      </c>
      <c r="C224" t="str">
        <f>_xlfn.LET(
_xlpm.FamilyName,IF(F224="","",F224)&amp;IF(G224="",""," "&amp;G224)&amp;IF(H224="",""," "&amp;H224),
_xlpm.MarriedName,IF(F224="","",F224)&amp;IF(G224="",""," "&amp;G224)&amp;IF(I224="",""," "&amp;I224)&amp;IF(H224="",""," "&amp;"("&amp;H224)&amp;")",
TRIM(IF(Index_of_People[[#This Row],[Prefer NickName]]=TRUE,Index_of_People[[#This Row],[Nick Names]],
IF(I224&lt;&gt;"",_xlpm.MarriedName,_xlpm.FamilyName))))</f>
        <v>Marcie Summers</v>
      </c>
      <c r="D224" t="b">
        <v>1</v>
      </c>
      <c r="F224" t="s">
        <v>174</v>
      </c>
      <c r="H224" t="s">
        <v>398</v>
      </c>
      <c r="J224"/>
      <c r="K224" t="str">
        <f>IF(Index_of_People[[#This Row],[SpouseID]]="","",IFERROR(INDEX(Index_of_People[Metadata Name],MATCH(Index_of_People[[#This Row],[SpouseID]],Index_of_People[NameID],0)),""))</f>
        <v/>
      </c>
      <c r="L224" s="6"/>
      <c r="M224" s="2" t="s">
        <v>490</v>
      </c>
      <c r="N224" s="2" t="s">
        <v>490</v>
      </c>
      <c r="O224" s="2" t="s">
        <v>490</v>
      </c>
      <c r="P224" t="b">
        <v>0</v>
      </c>
    </row>
    <row r="225" spans="1:16" x14ac:dyDescent="0.25">
      <c r="A225" s="6">
        <v>220</v>
      </c>
      <c r="B225" s="6" t="b">
        <v>0</v>
      </c>
      <c r="C225" t="str">
        <f>_xlfn.LET(
_xlpm.FamilyName,IF(F225="","",F225)&amp;IF(G225="",""," "&amp;G225)&amp;IF(H225="",""," "&amp;H225),
_xlpm.MarriedName,IF(F225="","",F225)&amp;IF(G225="",""," "&amp;G225)&amp;IF(I225="",""," "&amp;I225)&amp;IF(H225="",""," "&amp;"("&amp;H225)&amp;")",
TRIM(IF(Index_of_People[[#This Row],[Prefer NickName]]=TRUE,Index_of_People[[#This Row],[Nick Names]],
IF(I225&lt;&gt;"",_xlpm.MarriedName,_xlpm.FamilyName))))</f>
        <v>Maria Henriette Penner (Enns)</v>
      </c>
      <c r="D225" t="b">
        <v>1</v>
      </c>
      <c r="F225" t="s">
        <v>1336</v>
      </c>
      <c r="G225" t="s">
        <v>1337</v>
      </c>
      <c r="H225" t="s">
        <v>304</v>
      </c>
      <c r="I225" t="s">
        <v>295</v>
      </c>
      <c r="J225" t="s">
        <v>1335</v>
      </c>
      <c r="K225" t="str">
        <f>IF(Index_of_People[[#This Row],[SpouseID]]="","",IFERROR(INDEX(Index_of_People[Metadata Name],MATCH(Index_of_People[[#This Row],[SpouseID]],Index_of_People[NameID],0)),""))</f>
        <v>John John Penner</v>
      </c>
      <c r="L225" s="6">
        <v>176</v>
      </c>
      <c r="M225" s="2" t="s">
        <v>1341</v>
      </c>
      <c r="N225" s="2">
        <v>11425</v>
      </c>
      <c r="O225" s="2">
        <v>30668</v>
      </c>
      <c r="P225" t="b">
        <v>1</v>
      </c>
    </row>
    <row r="226" spans="1:16" x14ac:dyDescent="0.25">
      <c r="A226" s="6">
        <v>221</v>
      </c>
      <c r="B226" s="6" t="b">
        <v>0</v>
      </c>
      <c r="C226" t="str">
        <f>_xlfn.LET(
_xlpm.FamilyName,IF(F226="","",F226)&amp;IF(G226="",""," "&amp;G226)&amp;IF(H226="",""," "&amp;H226),
_xlpm.MarriedName,IF(F226="","",F226)&amp;IF(G226="",""," "&amp;G226)&amp;IF(I226="",""," "&amp;I226)&amp;IF(H226="",""," "&amp;"("&amp;H226)&amp;")",
TRIM(IF(Index_of_People[[#This Row],[Prefer NickName]]=TRUE,Index_of_People[[#This Row],[Nick Names]],
IF(I226&lt;&gt;"",_xlpm.MarriedName,_xlpm.FamilyName))))</f>
        <v>Marian Elizabeth Bailey</v>
      </c>
      <c r="D226" t="b">
        <v>1</v>
      </c>
      <c r="F226" t="s">
        <v>270</v>
      </c>
      <c r="G226" t="s">
        <v>119</v>
      </c>
      <c r="H226" t="s">
        <v>374</v>
      </c>
      <c r="J226"/>
      <c r="K226" t="str">
        <f>IF(Index_of_People[[#This Row],[SpouseID]]="","",IFERROR(INDEX(Index_of_People[Metadata Name],MATCH(Index_of_People[[#This Row],[SpouseID]],Index_of_People[NameID],0)),""))</f>
        <v/>
      </c>
      <c r="L226" s="6"/>
      <c r="M226" s="2" t="s">
        <v>490</v>
      </c>
      <c r="N226" s="2" t="s">
        <v>490</v>
      </c>
      <c r="O226" s="2" t="s">
        <v>490</v>
      </c>
      <c r="P226" t="b">
        <v>1</v>
      </c>
    </row>
    <row r="227" spans="1:16" x14ac:dyDescent="0.25">
      <c r="A227" s="6">
        <v>222</v>
      </c>
      <c r="B227" s="6" t="b">
        <v>0</v>
      </c>
      <c r="C227" t="str">
        <f>_xlfn.LET(
_xlpm.FamilyName,IF(F227="","",F227)&amp;IF(G227="",""," "&amp;G227)&amp;IF(H227="",""," "&amp;H227),
_xlpm.MarriedName,IF(F227="","",F227)&amp;IF(G227="",""," "&amp;G227)&amp;IF(I227="",""," "&amp;I227)&amp;IF(H227="",""," "&amp;"("&amp;H227)&amp;")",
TRIM(IF(Index_of_People[[#This Row],[Prefer NickName]]=TRUE,Index_of_People[[#This Row],[Nick Names]],
IF(I227&lt;&gt;"",_xlpm.MarriedName,_xlpm.FamilyName))))</f>
        <v>Marianne Scott</v>
      </c>
      <c r="D227" t="b">
        <v>1</v>
      </c>
      <c r="F227" t="s">
        <v>175</v>
      </c>
      <c r="H227" t="s">
        <v>399</v>
      </c>
      <c r="J227"/>
      <c r="K227" t="str">
        <f>IF(Index_of_People[[#This Row],[SpouseID]]="","",IFERROR(INDEX(Index_of_People[Metadata Name],MATCH(Index_of_People[[#This Row],[SpouseID]],Index_of_People[NameID],0)),""))</f>
        <v/>
      </c>
      <c r="L227" s="6"/>
      <c r="M227" s="2" t="s">
        <v>490</v>
      </c>
      <c r="N227" s="2" t="s">
        <v>490</v>
      </c>
      <c r="O227" s="2" t="s">
        <v>490</v>
      </c>
      <c r="P227" t="b">
        <v>0</v>
      </c>
    </row>
    <row r="228" spans="1:16" x14ac:dyDescent="0.25">
      <c r="A228" s="6">
        <v>223</v>
      </c>
      <c r="B228" s="6" t="b">
        <v>0</v>
      </c>
      <c r="C228" t="str">
        <f>_xlfn.LET(
_xlpm.FamilyName,IF(F228="","",F228)&amp;IF(G228="",""," "&amp;G228)&amp;IF(H228="",""," "&amp;H228),
_xlpm.MarriedName,IF(F228="","",F228)&amp;IF(G228="",""," "&amp;G228)&amp;IF(I228="",""," "&amp;I228)&amp;IF(H228="",""," "&amp;"("&amp;H228)&amp;")",
TRIM(IF(Index_of_People[[#This Row],[Prefer NickName]]=TRUE,Index_of_People[[#This Row],[Nick Names]],
IF(I228&lt;&gt;"",_xlpm.MarriedName,_xlpm.FamilyName))))</f>
        <v>Marie Henrietta Penner (Enns)</v>
      </c>
      <c r="D228" t="b">
        <v>0</v>
      </c>
      <c r="F228" t="s">
        <v>482</v>
      </c>
      <c r="G228" t="s">
        <v>486</v>
      </c>
      <c r="H228" t="s">
        <v>304</v>
      </c>
      <c r="I228" t="s">
        <v>295</v>
      </c>
      <c r="J228" t="s">
        <v>490</v>
      </c>
      <c r="K228" t="str">
        <f>IF(Index_of_People[[#This Row],[SpouseID]]="","",IFERROR(INDEX(Index_of_People[Metadata Name],MATCH(Index_of_People[[#This Row],[SpouseID]],Index_of_People[NameID],0)),""))</f>
        <v/>
      </c>
      <c r="L228" s="6"/>
      <c r="M228" s="2" t="s">
        <v>490</v>
      </c>
      <c r="N228" s="2" t="s">
        <v>490</v>
      </c>
      <c r="O228" s="2" t="s">
        <v>490</v>
      </c>
      <c r="P228" t="b">
        <v>0</v>
      </c>
    </row>
    <row r="229" spans="1:16" x14ac:dyDescent="0.25">
      <c r="A229" s="6">
        <v>224</v>
      </c>
      <c r="B229" s="6" t="b">
        <v>0</v>
      </c>
      <c r="C229" t="str">
        <f>_xlfn.LET(
_xlpm.FamilyName,IF(F229="","",F229)&amp;IF(G229="",""," "&amp;G229)&amp;IF(H229="",""," "&amp;H229),
_xlpm.MarriedName,IF(F229="","",F229)&amp;IF(G229="",""," "&amp;G229)&amp;IF(I229="",""," "&amp;I229)&amp;IF(H229="",""," "&amp;"("&amp;H229)&amp;")",
TRIM(IF(Index_of_People[[#This Row],[Prefer NickName]]=TRUE,Index_of_People[[#This Row],[Nick Names]],
IF(I229&lt;&gt;"",_xlpm.MarriedName,_xlpm.FamilyName))))</f>
        <v>Marilyn</v>
      </c>
      <c r="D229" t="b">
        <v>1</v>
      </c>
      <c r="F229" t="s">
        <v>54</v>
      </c>
      <c r="J229"/>
      <c r="K229" t="str">
        <f>IF(Index_of_People[[#This Row],[SpouseID]]="","",IFERROR(INDEX(Index_of_People[Metadata Name],MATCH(Index_of_People[[#This Row],[SpouseID]],Index_of_People[NameID],0)),""))</f>
        <v/>
      </c>
      <c r="L229" s="6"/>
      <c r="M229" s="2" t="s">
        <v>490</v>
      </c>
      <c r="N229" s="2" t="s">
        <v>490</v>
      </c>
      <c r="O229" s="2" t="s">
        <v>490</v>
      </c>
      <c r="P229" t="b">
        <v>0</v>
      </c>
    </row>
    <row r="230" spans="1:16" x14ac:dyDescent="0.25">
      <c r="A230" s="6">
        <v>225</v>
      </c>
      <c r="B230" s="6" t="b">
        <v>0</v>
      </c>
      <c r="C230" t="str">
        <f>_xlfn.LET(
_xlpm.FamilyName,IF(F230="","",F230)&amp;IF(G230="",""," "&amp;G230)&amp;IF(H230="",""," "&amp;H230),
_xlpm.MarriedName,IF(F230="","",F230)&amp;IF(G230="",""," "&amp;G230)&amp;IF(I230="",""," "&amp;I230)&amp;IF(H230="",""," "&amp;"("&amp;H230)&amp;")",
TRIM(IF(Index_of_People[[#This Row],[Prefer NickName]]=TRUE,Index_of_People[[#This Row],[Nick Names]],
IF(I230&lt;&gt;"",_xlpm.MarriedName,_xlpm.FamilyName))))</f>
        <v>Marlee Taylor</v>
      </c>
      <c r="D230" t="b">
        <v>1</v>
      </c>
      <c r="F230" t="s">
        <v>177</v>
      </c>
      <c r="H230" t="s">
        <v>16</v>
      </c>
      <c r="J230"/>
      <c r="K230" t="str">
        <f>IF(Index_of_People[[#This Row],[SpouseID]]="","",IFERROR(INDEX(Index_of_People[Metadata Name],MATCH(Index_of_People[[#This Row],[SpouseID]],Index_of_People[NameID],0)),""))</f>
        <v/>
      </c>
      <c r="L230" s="6"/>
      <c r="M230" s="2" t="s">
        <v>490</v>
      </c>
      <c r="N230" s="2" t="s">
        <v>490</v>
      </c>
      <c r="O230" s="2" t="s">
        <v>490</v>
      </c>
      <c r="P230" t="b">
        <v>0</v>
      </c>
    </row>
    <row r="231" spans="1:16" x14ac:dyDescent="0.25">
      <c r="A231" s="6">
        <v>226</v>
      </c>
      <c r="B231" s="6" t="b">
        <v>0</v>
      </c>
      <c r="C231" t="str">
        <f>_xlfn.LET(
_xlpm.FamilyName,IF(F231="","",F231)&amp;IF(G231="",""," "&amp;G231)&amp;IF(H231="",""," "&amp;H231),
_xlpm.MarriedName,IF(F231="","",F231)&amp;IF(G231="",""," "&amp;G231)&amp;IF(I231="",""," "&amp;I231)&amp;IF(H231="",""," "&amp;"("&amp;H231)&amp;")",
TRIM(IF(Index_of_People[[#This Row],[Prefer NickName]]=TRUE,Index_of_People[[#This Row],[Nick Names]],
IF(I231&lt;&gt;"",_xlpm.MarriedName,_xlpm.FamilyName))))</f>
        <v>Marlin</v>
      </c>
      <c r="D231" t="b">
        <v>1</v>
      </c>
      <c r="F231" t="s">
        <v>55</v>
      </c>
      <c r="J231"/>
      <c r="K231" t="str">
        <f>IF(Index_of_People[[#This Row],[SpouseID]]="","",IFERROR(INDEX(Index_of_People[Metadata Name],MATCH(Index_of_People[[#This Row],[SpouseID]],Index_of_People[NameID],0)),""))</f>
        <v/>
      </c>
      <c r="L231" s="6"/>
      <c r="M231" s="2" t="s">
        <v>490</v>
      </c>
      <c r="N231" s="2" t="s">
        <v>490</v>
      </c>
      <c r="O231" s="2" t="s">
        <v>490</v>
      </c>
      <c r="P231" t="b">
        <v>0</v>
      </c>
    </row>
    <row r="232" spans="1:16" x14ac:dyDescent="0.25">
      <c r="A232" s="6">
        <v>227</v>
      </c>
      <c r="B232" s="6" t="b">
        <v>0</v>
      </c>
      <c r="C232" t="str">
        <f>_xlfn.LET(
_xlpm.FamilyName,IF(F232="","",F232)&amp;IF(G232="",""," "&amp;G232)&amp;IF(H232="",""," "&amp;H232),
_xlpm.MarriedName,IF(F232="","",F232)&amp;IF(G232="",""," "&amp;G232)&amp;IF(I232="",""," "&amp;I232)&amp;IF(H232="",""," "&amp;"("&amp;H232)&amp;")",
TRIM(IF(Index_of_People[[#This Row],[Prefer NickName]]=TRUE,Index_of_People[[#This Row],[Nick Names]],
IF(I232&lt;&gt;"",_xlpm.MarriedName,_xlpm.FamilyName))))</f>
        <v>Mary Bea</v>
      </c>
      <c r="D232" t="b">
        <v>0</v>
      </c>
      <c r="F232" t="s">
        <v>178</v>
      </c>
      <c r="G232" t="s">
        <v>490</v>
      </c>
      <c r="H232" t="s">
        <v>400</v>
      </c>
      <c r="I232" t="s">
        <v>490</v>
      </c>
      <c r="J232" t="s">
        <v>490</v>
      </c>
      <c r="K232" t="str">
        <f>IF(Index_of_People[[#This Row],[SpouseID]]="","",IFERROR(INDEX(Index_of_People[Metadata Name],MATCH(Index_of_People[[#This Row],[SpouseID]],Index_of_People[NameID],0)),""))</f>
        <v/>
      </c>
      <c r="L232" s="6"/>
      <c r="M232" s="2" t="s">
        <v>490</v>
      </c>
      <c r="N232" s="2" t="s">
        <v>490</v>
      </c>
      <c r="O232" s="2" t="s">
        <v>490</v>
      </c>
      <c r="P232" t="b">
        <v>0</v>
      </c>
    </row>
    <row r="233" spans="1:16" x14ac:dyDescent="0.25">
      <c r="A233" s="6">
        <v>228</v>
      </c>
      <c r="B233" s="6" t="b">
        <v>0</v>
      </c>
      <c r="C233" t="str">
        <f>_xlfn.LET(
_xlpm.FamilyName,IF(F233="","",F233)&amp;IF(G233="",""," "&amp;G233)&amp;IF(H233="",""," "&amp;H233),
_xlpm.MarriedName,IF(F233="","",F233)&amp;IF(G233="",""," "&amp;G233)&amp;IF(I233="",""," "&amp;I233)&amp;IF(H233="",""," "&amp;"("&amp;H233)&amp;")",
TRIM(IF(Index_of_People[[#This Row],[Prefer NickName]]=TRUE,Index_of_People[[#This Row],[Nick Names]],
IF(I233&lt;&gt;"",_xlpm.MarriedName,_xlpm.FamilyName))))</f>
        <v>Mary Penner (Lowden)</v>
      </c>
      <c r="D233" t="b">
        <v>1</v>
      </c>
      <c r="F233" t="s">
        <v>178</v>
      </c>
      <c r="H233" t="s">
        <v>478</v>
      </c>
      <c r="I233" t="s">
        <v>295</v>
      </c>
      <c r="J233"/>
      <c r="K233" t="str">
        <f>IF(Index_of_People[[#This Row],[SpouseID]]="","",IFERROR(INDEX(Index_of_People[Metadata Name],MATCH(Index_of_People[[#This Row],[SpouseID]],Index_of_People[NameID],0)),""))</f>
        <v>John George Penner</v>
      </c>
      <c r="L233" s="6">
        <v>175</v>
      </c>
      <c r="M233" s="2">
        <v>13739</v>
      </c>
      <c r="N233" s="2">
        <v>20818</v>
      </c>
      <c r="P233" t="b">
        <v>1</v>
      </c>
    </row>
    <row r="234" spans="1:16" x14ac:dyDescent="0.25">
      <c r="A234" s="6">
        <v>229</v>
      </c>
      <c r="B234" s="6" t="b">
        <v>0</v>
      </c>
      <c r="C234" t="str">
        <f>_xlfn.LET(
_xlpm.FamilyName,IF(F234="","",F234)&amp;IF(G234="",""," "&amp;G234)&amp;IF(H234="",""," "&amp;H234),
_xlpm.MarriedName,IF(F234="","",F234)&amp;IF(G234="",""," "&amp;G234)&amp;IF(I234="",""," "&amp;I234)&amp;IF(H234="",""," "&amp;"("&amp;H234)&amp;")",
TRIM(IF(Index_of_People[[#This Row],[Prefer NickName]]=TRUE,Index_of_People[[#This Row],[Nick Names]],
IF(I234&lt;&gt;"",_xlpm.MarriedName,_xlpm.FamilyName))))</f>
        <v>Matthew Berger</v>
      </c>
      <c r="D234" t="b">
        <v>1</v>
      </c>
      <c r="F234" t="s">
        <v>179</v>
      </c>
      <c r="G234" t="s">
        <v>490</v>
      </c>
      <c r="H234" t="s">
        <v>401</v>
      </c>
      <c r="I234" t="s">
        <v>490</v>
      </c>
      <c r="J234" t="s">
        <v>490</v>
      </c>
      <c r="K234" t="str">
        <f>IF(Index_of_People[[#This Row],[SpouseID]]="","",IFERROR(INDEX(Index_of_People[Metadata Name],MATCH(Index_of_People[[#This Row],[SpouseID]],Index_of_People[NameID],0)),""))</f>
        <v/>
      </c>
      <c r="L234" s="6"/>
      <c r="M234" s="2" t="s">
        <v>490</v>
      </c>
      <c r="N234" s="2" t="s">
        <v>490</v>
      </c>
      <c r="O234" s="2" t="s">
        <v>490</v>
      </c>
      <c r="P234" t="b">
        <v>0</v>
      </c>
    </row>
    <row r="235" spans="1:16" x14ac:dyDescent="0.25">
      <c r="A235" s="6">
        <v>230</v>
      </c>
      <c r="B235" s="6" t="b">
        <v>0</v>
      </c>
      <c r="C235" t="str">
        <f>_xlfn.LET(
_xlpm.FamilyName,IF(F235="","",F235)&amp;IF(G235="",""," "&amp;G235)&amp;IF(H235="",""," "&amp;H235),
_xlpm.MarriedName,IF(F235="","",F235)&amp;IF(G235="",""," "&amp;G235)&amp;IF(I235="",""," "&amp;I235)&amp;IF(H235="",""," "&amp;"("&amp;H235)&amp;")",
TRIM(IF(Index_of_People[[#This Row],[Prefer NickName]]=TRUE,Index_of_People[[#This Row],[Nick Names]],
IF(I235&lt;&gt;"",_xlpm.MarriedName,_xlpm.FamilyName))))</f>
        <v>McKinnon</v>
      </c>
      <c r="D235" t="b">
        <v>0</v>
      </c>
      <c r="E235" t="s">
        <v>184</v>
      </c>
      <c r="H235" t="s">
        <v>404</v>
      </c>
      <c r="J235"/>
      <c r="K235" t="str">
        <f>IF(Index_of_People[[#This Row],[SpouseID]]="","",IFERROR(INDEX(Index_of_People[Metadata Name],MATCH(Index_of_People[[#This Row],[SpouseID]],Index_of_People[NameID],0)),""))</f>
        <v/>
      </c>
      <c r="L235" s="6"/>
      <c r="M235" s="2" t="s">
        <v>490</v>
      </c>
      <c r="N235" s="2" t="s">
        <v>490</v>
      </c>
      <c r="O235" s="2" t="s">
        <v>490</v>
      </c>
      <c r="P235" t="b">
        <v>0</v>
      </c>
    </row>
    <row r="236" spans="1:16" x14ac:dyDescent="0.25">
      <c r="A236" s="6">
        <v>231</v>
      </c>
      <c r="B236" s="6" t="b">
        <v>0</v>
      </c>
      <c r="C236" t="str">
        <f>_xlfn.LET(
_xlpm.FamilyName,IF(F236="","",F236)&amp;IF(G236="",""," "&amp;G236)&amp;IF(H236="",""," "&amp;H236),
_xlpm.MarriedName,IF(F236="","",F236)&amp;IF(G236="",""," "&amp;G236)&amp;IF(I236="",""," "&amp;I236)&amp;IF(H236="",""," "&amp;"("&amp;H236)&amp;")",
TRIM(IF(Index_of_People[[#This Row],[Prefer NickName]]=TRUE,Index_of_People[[#This Row],[Nick Names]],
IF(I236&lt;&gt;"",_xlpm.MarriedName,_xlpm.FamilyName))))</f>
        <v>Megan Barker</v>
      </c>
      <c r="D236" t="b">
        <v>1</v>
      </c>
      <c r="F236" t="s">
        <v>180</v>
      </c>
      <c r="H236" t="s">
        <v>312</v>
      </c>
      <c r="J236"/>
      <c r="K236" t="str">
        <f>IF(Index_of_People[[#This Row],[SpouseID]]="","",IFERROR(INDEX(Index_of_People[Metadata Name],MATCH(Index_of_People[[#This Row],[SpouseID]],Index_of_People[NameID],0)),""))</f>
        <v/>
      </c>
      <c r="L236" s="6"/>
      <c r="P236" t="b">
        <v>1</v>
      </c>
    </row>
    <row r="237" spans="1:16" x14ac:dyDescent="0.25">
      <c r="A237" s="6">
        <v>232</v>
      </c>
      <c r="B237" s="6" t="b">
        <v>0</v>
      </c>
      <c r="C237" t="str">
        <f>_xlfn.LET(
_xlpm.FamilyName,IF(F237="","",F237)&amp;IF(G237="",""," "&amp;G237)&amp;IF(H237="",""," "&amp;H237),
_xlpm.MarriedName,IF(F237="","",F237)&amp;IF(G237="",""," "&amp;G237)&amp;IF(I237="",""," "&amp;I237)&amp;IF(H237="",""," "&amp;"("&amp;H237)&amp;")",
TRIM(IF(Index_of_People[[#This Row],[Prefer NickName]]=TRUE,Index_of_People[[#This Row],[Nick Names]],
IF(I237&lt;&gt;"",_xlpm.MarriedName,_xlpm.FamilyName))))</f>
        <v>Melanie Smith</v>
      </c>
      <c r="D237" t="b">
        <v>1</v>
      </c>
      <c r="F237" t="s">
        <v>181</v>
      </c>
      <c r="H237" t="s">
        <v>17</v>
      </c>
      <c r="J237"/>
      <c r="K237" t="str">
        <f>IF(Index_of_People[[#This Row],[SpouseID]]="","",IFERROR(INDEX(Index_of_People[Metadata Name],MATCH(Index_of_People[[#This Row],[SpouseID]],Index_of_People[NameID],0)),""))</f>
        <v/>
      </c>
      <c r="L237" s="6"/>
      <c r="M237" s="2" t="s">
        <v>490</v>
      </c>
      <c r="N237" s="2" t="s">
        <v>490</v>
      </c>
      <c r="O237" s="2" t="s">
        <v>490</v>
      </c>
      <c r="P237" t="b">
        <v>0</v>
      </c>
    </row>
    <row r="238" spans="1:16" x14ac:dyDescent="0.25">
      <c r="A238" s="6">
        <v>233</v>
      </c>
      <c r="B238" s="6" t="b">
        <v>0</v>
      </c>
      <c r="C238" t="str">
        <f>_xlfn.LET(
_xlpm.FamilyName,IF(F238="","",F238)&amp;IF(G238="",""," "&amp;G238)&amp;IF(H238="",""," "&amp;H238),
_xlpm.MarriedName,IF(F238="","",F238)&amp;IF(G238="",""," "&amp;G238)&amp;IF(I238="",""," "&amp;I238)&amp;IF(H238="",""," "&amp;"("&amp;H238)&amp;")",
TRIM(IF(Index_of_People[[#This Row],[Prefer NickName]]=TRUE,Index_of_People[[#This Row],[Nick Names]],
IF(I238&lt;&gt;"",_xlpm.MarriedName,_xlpm.FamilyName))))</f>
        <v>Melissa</v>
      </c>
      <c r="D238" t="b">
        <v>1</v>
      </c>
      <c r="F238" t="s">
        <v>26</v>
      </c>
      <c r="J238"/>
      <c r="K238" t="str">
        <f>IF(Index_of_People[[#This Row],[SpouseID]]="","",IFERROR(INDEX(Index_of_People[Metadata Name],MATCH(Index_of_People[[#This Row],[SpouseID]],Index_of_People[NameID],0)),""))</f>
        <v/>
      </c>
      <c r="L238" s="6"/>
      <c r="M238" s="2" t="s">
        <v>490</v>
      </c>
      <c r="N238" s="2" t="s">
        <v>490</v>
      </c>
      <c r="O238" s="2" t="s">
        <v>490</v>
      </c>
      <c r="P238" t="b">
        <v>0</v>
      </c>
    </row>
    <row r="239" spans="1:16" x14ac:dyDescent="0.25">
      <c r="A239" s="6">
        <v>234</v>
      </c>
      <c r="B239" s="6" t="b">
        <v>0</v>
      </c>
      <c r="C239" t="str">
        <f>_xlfn.LET(
_xlpm.FamilyName,IF(F239="","",F239)&amp;IF(G239="",""," "&amp;G239)&amp;IF(H239="",""," "&amp;H239),
_xlpm.MarriedName,IF(F239="","",F239)&amp;IF(G239="",""," "&amp;G239)&amp;IF(I239="",""," "&amp;I239)&amp;IF(H239="",""," "&amp;"("&amp;H239)&amp;")",
TRIM(IF(Index_of_People[[#This Row],[Prefer NickName]]=TRUE,Index_of_People[[#This Row],[Nick Names]],
IF(I239&lt;&gt;"",_xlpm.MarriedName,_xlpm.FamilyName))))</f>
        <v>Michael</v>
      </c>
      <c r="D239" t="b">
        <v>1</v>
      </c>
      <c r="F239" t="s">
        <v>56</v>
      </c>
      <c r="J239"/>
      <c r="K239" t="str">
        <f>IF(Index_of_People[[#This Row],[SpouseID]]="","",IFERROR(INDEX(Index_of_People[Metadata Name],MATCH(Index_of_People[[#This Row],[SpouseID]],Index_of_People[NameID],0)),""))</f>
        <v/>
      </c>
      <c r="L239" s="6"/>
      <c r="M239" s="2" t="s">
        <v>490</v>
      </c>
      <c r="N239" s="2" t="s">
        <v>490</v>
      </c>
      <c r="O239" s="2" t="s">
        <v>490</v>
      </c>
      <c r="P239" t="b">
        <v>0</v>
      </c>
    </row>
    <row r="240" spans="1:16" x14ac:dyDescent="0.25">
      <c r="A240" s="6">
        <v>235</v>
      </c>
      <c r="B240" s="6" t="b">
        <v>0</v>
      </c>
      <c r="C240" t="str">
        <f>_xlfn.LET(
_xlpm.FamilyName,IF(F240="","",F240)&amp;IF(G240="",""," "&amp;G240)&amp;IF(H240="",""," "&amp;H240),
_xlpm.MarriedName,IF(F240="","",F240)&amp;IF(G240="",""," "&amp;G240)&amp;IF(I240="",""," "&amp;I240)&amp;IF(H240="",""," "&amp;"("&amp;H240)&amp;")",
TRIM(IF(Index_of_People[[#This Row],[Prefer NickName]]=TRUE,Index_of_People[[#This Row],[Nick Names]],
IF(I240&lt;&gt;"",_xlpm.MarriedName,_xlpm.FamilyName))))</f>
        <v>Michael Billings</v>
      </c>
      <c r="D240" t="b">
        <v>1</v>
      </c>
      <c r="F240" t="s">
        <v>56</v>
      </c>
      <c r="G240" t="s">
        <v>490</v>
      </c>
      <c r="H240" t="s">
        <v>1</v>
      </c>
      <c r="I240" t="s">
        <v>490</v>
      </c>
      <c r="J240" t="s">
        <v>490</v>
      </c>
      <c r="K240" t="str">
        <f>IF(Index_of_People[[#This Row],[SpouseID]]="","",IFERROR(INDEX(Index_of_People[Metadata Name],MATCH(Index_of_People[[#This Row],[SpouseID]],Index_of_People[NameID],0)),""))</f>
        <v/>
      </c>
      <c r="L240" s="6"/>
      <c r="M240" s="2" t="s">
        <v>490</v>
      </c>
      <c r="N240" s="2" t="s">
        <v>490</v>
      </c>
      <c r="O240" s="2" t="s">
        <v>490</v>
      </c>
      <c r="P240" t="b">
        <v>0</v>
      </c>
    </row>
    <row r="241" spans="1:16" x14ac:dyDescent="0.25">
      <c r="A241" s="6">
        <v>236</v>
      </c>
      <c r="B241" s="6" t="b">
        <v>0</v>
      </c>
      <c r="C241" t="str">
        <f>_xlfn.LET(
_xlpm.FamilyName,IF(F241="","",F241)&amp;IF(G241="",""," "&amp;G241)&amp;IF(H241="",""," "&amp;H241),
_xlpm.MarriedName,IF(F241="","",F241)&amp;IF(G241="",""," "&amp;G241)&amp;IF(I241="",""," "&amp;I241)&amp;IF(H241="",""," "&amp;"("&amp;H241)&amp;")",
TRIM(IF(Index_of_People[[#This Row],[Prefer NickName]]=TRUE,Index_of_People[[#This Row],[Nick Names]],
IF(I241&lt;&gt;"",_xlpm.MarriedName,_xlpm.FamilyName))))</f>
        <v>Michaela</v>
      </c>
      <c r="D241" t="b">
        <v>1</v>
      </c>
      <c r="F241" t="s">
        <v>57</v>
      </c>
      <c r="J241"/>
      <c r="K241" t="str">
        <f>IF(Index_of_People[[#This Row],[SpouseID]]="","",IFERROR(INDEX(Index_of_People[Metadata Name],MATCH(Index_of_People[[#This Row],[SpouseID]],Index_of_People[NameID],0)),""))</f>
        <v/>
      </c>
      <c r="L241" s="6"/>
      <c r="M241" s="2" t="s">
        <v>490</v>
      </c>
      <c r="N241" s="2" t="s">
        <v>490</v>
      </c>
      <c r="O241" s="2" t="s">
        <v>490</v>
      </c>
      <c r="P241" t="b">
        <v>0</v>
      </c>
    </row>
    <row r="242" spans="1:16" x14ac:dyDescent="0.25">
      <c r="A242" s="6">
        <v>237</v>
      </c>
      <c r="B242" s="6" t="b">
        <v>0</v>
      </c>
      <c r="C242" t="str">
        <f>_xlfn.LET(
_xlpm.FamilyName,IF(F242="","",F242)&amp;IF(G242="",""," "&amp;G242)&amp;IF(H242="",""," "&amp;H242),
_xlpm.MarriedName,IF(F242="","",F242)&amp;IF(G242="",""," "&amp;G242)&amp;IF(I242="",""," "&amp;I242)&amp;IF(H242="",""," "&amp;"("&amp;H242)&amp;")",
TRIM(IF(Index_of_People[[#This Row],[Prefer NickName]]=TRUE,Index_of_People[[#This Row],[Nick Names]],
IF(I242&lt;&gt;"",_xlpm.MarriedName,_xlpm.FamilyName))))</f>
        <v>Mickey</v>
      </c>
      <c r="D242" t="b">
        <v>1</v>
      </c>
      <c r="F242" t="s">
        <v>58</v>
      </c>
      <c r="J242"/>
      <c r="K242" t="str">
        <f>IF(Index_of_People[[#This Row],[SpouseID]]="","",IFERROR(INDEX(Index_of_People[Metadata Name],MATCH(Index_of_People[[#This Row],[SpouseID]],Index_of_People[NameID],0)),""))</f>
        <v/>
      </c>
      <c r="L242" s="6"/>
      <c r="M242" s="2" t="s">
        <v>490</v>
      </c>
      <c r="N242" s="2" t="s">
        <v>490</v>
      </c>
      <c r="O242" s="2" t="s">
        <v>490</v>
      </c>
      <c r="P242" t="b">
        <v>0</v>
      </c>
    </row>
    <row r="243" spans="1:16" x14ac:dyDescent="0.25">
      <c r="A243" s="6">
        <v>238</v>
      </c>
      <c r="B243" s="6" t="b">
        <v>0</v>
      </c>
      <c r="C243" t="str">
        <f>_xlfn.LET(
_xlpm.FamilyName,IF(F243="","",F243)&amp;IF(G243="",""," "&amp;G243)&amp;IF(H243="",""," "&amp;H243),
_xlpm.MarriedName,IF(F243="","",F243)&amp;IF(G243="",""," "&amp;G243)&amp;IF(I243="",""," "&amp;I243)&amp;IF(H243="",""," "&amp;"("&amp;H243)&amp;")",
TRIM(IF(Index_of_People[[#This Row],[Prefer NickName]]=TRUE,Index_of_People[[#This Row],[Nick Names]],
IF(I243&lt;&gt;"",_xlpm.MarriedName,_xlpm.FamilyName))))</f>
        <v>Mike Close</v>
      </c>
      <c r="D243" t="b">
        <v>1</v>
      </c>
      <c r="F243" t="s">
        <v>182</v>
      </c>
      <c r="G243" t="s">
        <v>490</v>
      </c>
      <c r="H243" t="s">
        <v>402</v>
      </c>
      <c r="I243" t="s">
        <v>490</v>
      </c>
      <c r="J243" t="s">
        <v>490</v>
      </c>
      <c r="K243" t="str">
        <f>IF(Index_of_People[[#This Row],[SpouseID]]="","",IFERROR(INDEX(Index_of_People[Metadata Name],MATCH(Index_of_People[[#This Row],[SpouseID]],Index_of_People[NameID],0)),""))</f>
        <v/>
      </c>
      <c r="L243" s="6"/>
      <c r="M243" s="2" t="s">
        <v>490</v>
      </c>
      <c r="N243" s="2" t="s">
        <v>490</v>
      </c>
      <c r="O243" s="2" t="s">
        <v>490</v>
      </c>
      <c r="P243" t="b">
        <v>0</v>
      </c>
    </row>
    <row r="244" spans="1:16" x14ac:dyDescent="0.25">
      <c r="A244" s="6">
        <v>239</v>
      </c>
      <c r="B244" s="6" t="b">
        <v>0</v>
      </c>
      <c r="C244" t="str">
        <f>_xlfn.LET(
_xlpm.FamilyName,IF(F244="","",F244)&amp;IF(G244="",""," "&amp;G244)&amp;IF(H244="",""," "&amp;H244),
_xlpm.MarriedName,IF(F244="","",F244)&amp;IF(G244="",""," "&amp;G244)&amp;IF(I244="",""," "&amp;I244)&amp;IF(H244="",""," "&amp;"("&amp;H244)&amp;")",
TRIM(IF(Index_of_People[[#This Row],[Prefer NickName]]=TRUE,Index_of_People[[#This Row],[Nick Names]],
IF(I244&lt;&gt;"",_xlpm.MarriedName,_xlpm.FamilyName))))</f>
        <v>Mike Proudfoot</v>
      </c>
      <c r="D244" t="b">
        <v>1</v>
      </c>
      <c r="F244" t="s">
        <v>182</v>
      </c>
      <c r="H244" t="s">
        <v>403</v>
      </c>
      <c r="J244"/>
      <c r="K244" t="str">
        <f>IF(Index_of_People[[#This Row],[SpouseID]]="","",IFERROR(INDEX(Index_of_People[Metadata Name],MATCH(Index_of_People[[#This Row],[SpouseID]],Index_of_People[NameID],0)),""))</f>
        <v/>
      </c>
      <c r="L244" s="6"/>
      <c r="M244" s="2" t="s">
        <v>490</v>
      </c>
      <c r="N244" s="2" t="s">
        <v>490</v>
      </c>
      <c r="O244" s="2" t="s">
        <v>490</v>
      </c>
      <c r="P244" t="b">
        <v>0</v>
      </c>
    </row>
    <row r="245" spans="1:16" x14ac:dyDescent="0.25">
      <c r="A245" s="6">
        <v>240</v>
      </c>
      <c r="B245" s="6" t="b">
        <v>0</v>
      </c>
      <c r="C245" t="str">
        <f>_xlfn.LET(
_xlpm.FamilyName,IF(F245="","",F245)&amp;IF(G245="",""," "&amp;G245)&amp;IF(H245="",""," "&amp;H245),
_xlpm.MarriedName,IF(F245="","",F245)&amp;IF(G245="",""," "&amp;G245)&amp;IF(I245="",""," "&amp;I245)&amp;IF(H245="",""," "&amp;"("&amp;H245)&amp;")",
TRIM(IF(Index_of_People[[#This Row],[Prefer NickName]]=TRUE,Index_of_People[[#This Row],[Nick Names]],
IF(I245&lt;&gt;"",_xlpm.MarriedName,_xlpm.FamilyName))))</f>
        <v>Milo</v>
      </c>
      <c r="D245" t="b">
        <v>0</v>
      </c>
      <c r="F245" t="s">
        <v>183</v>
      </c>
      <c r="J245" t="s">
        <v>470</v>
      </c>
      <c r="K245" t="str">
        <f>IF(Index_of_People[[#This Row],[SpouseID]]="","",IFERROR(INDEX(Index_of_People[Metadata Name],MATCH(Index_of_People[[#This Row],[SpouseID]],Index_of_People[NameID],0)),""))</f>
        <v/>
      </c>
      <c r="L245" s="6"/>
      <c r="M245" s="2" t="s">
        <v>490</v>
      </c>
      <c r="N245" s="2" t="s">
        <v>490</v>
      </c>
      <c r="O245" s="2" t="s">
        <v>490</v>
      </c>
      <c r="P245" t="b">
        <v>0</v>
      </c>
    </row>
    <row r="246" spans="1:16" x14ac:dyDescent="0.25">
      <c r="A246" s="6">
        <v>241</v>
      </c>
      <c r="B246" s="6" t="b">
        <v>0</v>
      </c>
      <c r="C246" t="str">
        <f>_xlfn.LET(
_xlpm.FamilyName,IF(F246="","",F246)&amp;IF(G246="",""," "&amp;G246)&amp;IF(H246="",""," "&amp;H246),
_xlpm.MarriedName,IF(F246="","",F246)&amp;IF(G246="",""," "&amp;G246)&amp;IF(I246="",""," "&amp;I246)&amp;IF(H246="",""," "&amp;"("&amp;H246)&amp;")",
TRIM(IF(Index_of_People[[#This Row],[Prefer NickName]]=TRUE,Index_of_People[[#This Row],[Nick Names]],
IF(I246&lt;&gt;"",_xlpm.MarriedName,_xlpm.FamilyName))))</f>
        <v>Milo del Valle</v>
      </c>
      <c r="D246" t="b">
        <v>1</v>
      </c>
      <c r="F246" t="s">
        <v>183</v>
      </c>
      <c r="H246" t="s">
        <v>453</v>
      </c>
      <c r="J246"/>
      <c r="K246" t="str">
        <f>IF(Index_of_People[[#This Row],[SpouseID]]="","",IFERROR(INDEX(Index_of_People[Metadata Name],MATCH(Index_of_People[[#This Row],[SpouseID]],Index_of_People[NameID],0)),""))</f>
        <v/>
      </c>
      <c r="L246" s="6"/>
      <c r="M246" s="2" t="s">
        <v>490</v>
      </c>
      <c r="N246" s="2" t="s">
        <v>490</v>
      </c>
      <c r="O246" s="2" t="s">
        <v>490</v>
      </c>
      <c r="P246" t="b">
        <v>1</v>
      </c>
    </row>
    <row r="247" spans="1:16" x14ac:dyDescent="0.25">
      <c r="A247" s="6">
        <v>242</v>
      </c>
      <c r="B247" s="6" t="b">
        <v>0</v>
      </c>
      <c r="C247" t="str">
        <f>_xlfn.LET(
_xlpm.FamilyName,IF(F247="","",F247)&amp;IF(G247="",""," "&amp;G247)&amp;IF(H247="",""," "&amp;H247),
_xlpm.MarriedName,IF(F247="","",F247)&amp;IF(G247="",""," "&amp;G247)&amp;IF(I247="",""," "&amp;I247)&amp;IF(H247="",""," "&amp;"("&amp;H247)&amp;")",
TRIM(IF(Index_of_People[[#This Row],[Prefer NickName]]=TRUE,Index_of_People[[#This Row],[Nick Names]],
IF(I247&lt;&gt;"",_xlpm.MarriedName,_xlpm.FamilyName))))</f>
        <v>Milo Leslie Foster</v>
      </c>
      <c r="D247" t="b">
        <v>0</v>
      </c>
      <c r="F247" t="s">
        <v>183</v>
      </c>
      <c r="G247" t="s">
        <v>165</v>
      </c>
      <c r="H247" t="s">
        <v>14</v>
      </c>
      <c r="I247" t="s">
        <v>490</v>
      </c>
      <c r="J247" t="s">
        <v>461</v>
      </c>
      <c r="K247" t="str">
        <f>IF(Index_of_People[[#This Row],[SpouseID]]="","",IFERROR(INDEX(Index_of_People[Metadata Name],MATCH(Index_of_People[[#This Row],[SpouseID]],Index_of_People[NameID],0)),""))</f>
        <v/>
      </c>
      <c r="L247" s="6"/>
      <c r="M247" s="2" t="s">
        <v>490</v>
      </c>
      <c r="N247" s="2" t="s">
        <v>490</v>
      </c>
      <c r="O247" s="2" t="s">
        <v>490</v>
      </c>
      <c r="P247" t="b">
        <v>0</v>
      </c>
    </row>
    <row r="248" spans="1:16" x14ac:dyDescent="0.25">
      <c r="A248" s="6">
        <v>243</v>
      </c>
      <c r="B248" s="6" t="b">
        <v>1</v>
      </c>
      <c r="C248" t="str">
        <f>_xlfn.LET(
_xlpm.FamilyName,IF(F248="","",F248)&amp;IF(G248="",""," "&amp;G248)&amp;IF(H248="",""," "&amp;H248),
_xlpm.MarriedName,IF(F248="","",F248)&amp;IF(G248="",""," "&amp;G248)&amp;IF(I248="",""," "&amp;I248)&amp;IF(H248="",""," "&amp;"("&amp;H248)&amp;")",
TRIM(IF(Index_of_People[[#This Row],[Prefer NickName]]=TRUE,Index_of_People[[#This Row],[Nick Names]],
IF(I248&lt;&gt;"",_xlpm.MarriedName,_xlpm.FamilyName))))</f>
        <v>Milo Leslie Foster [Boppy]</v>
      </c>
      <c r="D248" t="b">
        <v>1</v>
      </c>
      <c r="F248" t="s">
        <v>183</v>
      </c>
      <c r="G248" t="s">
        <v>165</v>
      </c>
      <c r="H248" t="s">
        <v>14</v>
      </c>
      <c r="J248" t="s">
        <v>1334</v>
      </c>
      <c r="K248" t="str">
        <f>IF(Index_of_People[[#This Row],[SpouseID]]="","",IFERROR(INDEX(Index_of_People[Metadata Name],MATCH(Index_of_People[[#This Row],[SpouseID]],Index_of_People[NameID],0)),""))</f>
        <v/>
      </c>
      <c r="L248" s="6"/>
      <c r="M248" s="2" t="s">
        <v>490</v>
      </c>
      <c r="N248" s="2" t="s">
        <v>490</v>
      </c>
      <c r="O248" s="2" t="s">
        <v>490</v>
      </c>
      <c r="P248" t="b">
        <v>1</v>
      </c>
    </row>
    <row r="249" spans="1:16" x14ac:dyDescent="0.25">
      <c r="A249" s="6">
        <v>244</v>
      </c>
      <c r="B249" s="6" t="b">
        <v>0</v>
      </c>
      <c r="C249" t="str">
        <f>_xlfn.LET(
_xlpm.FamilyName,IF(F249="","",F249)&amp;IF(G249="",""," "&amp;G249)&amp;IF(H249="",""," "&amp;H249),
_xlpm.MarriedName,IF(F249="","",F249)&amp;IF(G249="",""," "&amp;G249)&amp;IF(I249="",""," "&amp;I249)&amp;IF(H249="",""," "&amp;"("&amp;H249)&amp;")",
TRIM(IF(Index_of_People[[#This Row],[Prefer NickName]]=TRUE,Index_of_People[[#This Row],[Nick Names]],
IF(I249&lt;&gt;"",_xlpm.MarriedName,_xlpm.FamilyName))))</f>
        <v>Milo Topic</v>
      </c>
      <c r="D249" t="b">
        <v>1</v>
      </c>
      <c r="F249" t="s">
        <v>183</v>
      </c>
      <c r="H249" t="s">
        <v>364</v>
      </c>
      <c r="J249"/>
      <c r="K249" t="str">
        <f>IF(Index_of_People[[#This Row],[SpouseID]]="","",IFERROR(INDEX(Index_of_People[Metadata Name],MATCH(Index_of_People[[#This Row],[SpouseID]],Index_of_People[NameID],0)),""))</f>
        <v/>
      </c>
      <c r="L249" s="6"/>
      <c r="M249" s="2" t="s">
        <v>490</v>
      </c>
      <c r="N249" s="2" t="s">
        <v>490</v>
      </c>
      <c r="O249" s="2" t="s">
        <v>490</v>
      </c>
      <c r="P249" t="b">
        <v>0</v>
      </c>
    </row>
    <row r="250" spans="1:16" x14ac:dyDescent="0.25">
      <c r="A250" s="6">
        <v>245</v>
      </c>
      <c r="B250" s="6" t="b">
        <v>0</v>
      </c>
      <c r="C250" t="str">
        <f>_xlfn.LET(
_xlpm.FamilyName,IF(F250="","",F250)&amp;IF(G250="",""," "&amp;G250)&amp;IF(H250="",""," "&amp;H250),
_xlpm.MarriedName,IF(F250="","",F250)&amp;IF(G250="",""," "&amp;G250)&amp;IF(I250="",""," "&amp;I250)&amp;IF(H250="",""," "&amp;"("&amp;H250)&amp;")",
TRIM(IF(Index_of_People[[#This Row],[Prefer NickName]]=TRUE,Index_of_People[[#This Row],[Nick Names]],
IF(I250&lt;&gt;"",_xlpm.MarriedName,_xlpm.FamilyName))))</f>
        <v>Mitchell John Penner</v>
      </c>
      <c r="D250" t="b">
        <v>1</v>
      </c>
      <c r="F250" t="s">
        <v>271</v>
      </c>
      <c r="G250" t="s">
        <v>148</v>
      </c>
      <c r="H250" t="s">
        <v>295</v>
      </c>
      <c r="J250"/>
      <c r="K250" t="str">
        <f>IF(Index_of_People[[#This Row],[SpouseID]]="","",IFERROR(INDEX(Index_of_People[Metadata Name],MATCH(Index_of_People[[#This Row],[SpouseID]],Index_of_People[NameID],0)),""))</f>
        <v/>
      </c>
      <c r="L250" s="6"/>
      <c r="M250" s="2" t="s">
        <v>490</v>
      </c>
      <c r="N250" s="2" t="s">
        <v>490</v>
      </c>
      <c r="O250" s="2" t="s">
        <v>490</v>
      </c>
      <c r="P250" t="b">
        <v>1</v>
      </c>
    </row>
    <row r="251" spans="1:16" x14ac:dyDescent="0.25">
      <c r="A251" s="6">
        <v>246</v>
      </c>
      <c r="B251" s="6" t="b">
        <v>0</v>
      </c>
      <c r="C251" t="str">
        <f>_xlfn.LET(
_xlpm.FamilyName,IF(F251="","",F251)&amp;IF(G251="",""," "&amp;G251)&amp;IF(H251="",""," "&amp;H251),
_xlpm.MarriedName,IF(F251="","",F251)&amp;IF(G251="",""," "&amp;G251)&amp;IF(I251="",""," "&amp;I251)&amp;IF(H251="",""," "&amp;"("&amp;H251)&amp;")",
TRIM(IF(Index_of_People[[#This Row],[Prefer NickName]]=TRUE,Index_of_People[[#This Row],[Nick Names]],
IF(I251&lt;&gt;"",_xlpm.MarriedName,_xlpm.FamilyName))))</f>
        <v>Mitzi</v>
      </c>
      <c r="D251" t="b">
        <v>0</v>
      </c>
      <c r="F251" t="s">
        <v>272</v>
      </c>
      <c r="J251" t="s">
        <v>496</v>
      </c>
      <c r="K251" t="str">
        <f>IF(Index_of_People[[#This Row],[SpouseID]]="","",IFERROR(INDEX(Index_of_People[Metadata Name],MATCH(Index_of_People[[#This Row],[SpouseID]],Index_of_People[NameID],0)),""))</f>
        <v/>
      </c>
      <c r="L251" s="6"/>
      <c r="M251" s="2" t="s">
        <v>490</v>
      </c>
      <c r="N251" s="2" t="s">
        <v>490</v>
      </c>
      <c r="O251" s="2" t="s">
        <v>490</v>
      </c>
      <c r="P251" t="b">
        <v>0</v>
      </c>
    </row>
    <row r="252" spans="1:16" x14ac:dyDescent="0.25">
      <c r="A252" s="6">
        <v>247</v>
      </c>
      <c r="B252" s="6" t="b">
        <v>0</v>
      </c>
      <c r="C252" t="str">
        <f>_xlfn.LET(
_xlpm.FamilyName,IF(F252="","",F252)&amp;IF(G252="",""," "&amp;G252)&amp;IF(H252="",""," "&amp;H252),
_xlpm.MarriedName,IF(F252="","",F252)&amp;IF(G252="",""," "&amp;G252)&amp;IF(I252="",""," "&amp;I252)&amp;IF(H252="",""," "&amp;"("&amp;H252)&amp;")",
TRIM(IF(Index_of_People[[#This Row],[Prefer NickName]]=TRUE,Index_of_People[[#This Row],[Nick Names]],
IF(I252&lt;&gt;"",_xlpm.MarriedName,_xlpm.FamilyName))))</f>
        <v>Nadya Moron</v>
      </c>
      <c r="D252" t="b">
        <v>0</v>
      </c>
      <c r="F252" t="s">
        <v>187</v>
      </c>
      <c r="H252" t="s">
        <v>407</v>
      </c>
      <c r="J252"/>
      <c r="K252" t="str">
        <f>IF(Index_of_People[[#This Row],[SpouseID]]="","",IFERROR(INDEX(Index_of_People[Metadata Name],MATCH(Index_of_People[[#This Row],[SpouseID]],Index_of_People[NameID],0)),""))</f>
        <v/>
      </c>
      <c r="L252" s="6"/>
      <c r="M252" s="2" t="s">
        <v>490</v>
      </c>
      <c r="N252" s="2" t="s">
        <v>490</v>
      </c>
      <c r="O252" s="2" t="s">
        <v>490</v>
      </c>
      <c r="P252" t="b">
        <v>0</v>
      </c>
    </row>
    <row r="253" spans="1:16" x14ac:dyDescent="0.25">
      <c r="A253" s="6">
        <v>248</v>
      </c>
      <c r="B253" s="6" t="b">
        <v>0</v>
      </c>
      <c r="C253" t="str">
        <f>_xlfn.LET(
_xlpm.FamilyName,IF(F253="","",F253)&amp;IF(G253="",""," "&amp;G253)&amp;IF(H253="",""," "&amp;H253),
_xlpm.MarriedName,IF(F253="","",F253)&amp;IF(G253="",""," "&amp;G253)&amp;IF(I253="",""," "&amp;I253)&amp;IF(H253="",""," "&amp;"("&amp;H253)&amp;")",
TRIM(IF(Index_of_People[[#This Row],[Prefer NickName]]=TRUE,Index_of_People[[#This Row],[Nick Names]],
IF(I253&lt;&gt;"",_xlpm.MarriedName,_xlpm.FamilyName))))</f>
        <v>Nahid Badiei-Arani</v>
      </c>
      <c r="D253" t="b">
        <v>1</v>
      </c>
      <c r="F253" t="s">
        <v>188</v>
      </c>
      <c r="G253" t="s">
        <v>490</v>
      </c>
      <c r="H253" t="s">
        <v>408</v>
      </c>
      <c r="I253" t="s">
        <v>490</v>
      </c>
      <c r="J253" t="s">
        <v>490</v>
      </c>
      <c r="K253" t="str">
        <f>IF(Index_of_People[[#This Row],[SpouseID]]="","",IFERROR(INDEX(Index_of_People[Metadata Name],MATCH(Index_of_People[[#This Row],[SpouseID]],Index_of_People[NameID],0)),""))</f>
        <v/>
      </c>
      <c r="L253" s="6"/>
      <c r="M253" s="2" t="s">
        <v>490</v>
      </c>
      <c r="N253" s="2" t="s">
        <v>490</v>
      </c>
      <c r="O253" s="2" t="s">
        <v>490</v>
      </c>
      <c r="P253" t="b">
        <v>0</v>
      </c>
    </row>
    <row r="254" spans="1:16" x14ac:dyDescent="0.25">
      <c r="A254" s="6">
        <v>249</v>
      </c>
      <c r="B254" s="6" t="b">
        <v>0</v>
      </c>
      <c r="C254" t="str">
        <f>_xlfn.LET(
_xlpm.FamilyName,IF(F254="","",F254)&amp;IF(G254="",""," "&amp;G254)&amp;IF(H254="",""," "&amp;H254),
_xlpm.MarriedName,IF(F254="","",F254)&amp;IF(G254="",""," "&amp;G254)&amp;IF(I254="",""," "&amp;I254)&amp;IF(H254="",""," "&amp;"("&amp;H254)&amp;")",
TRIM(IF(Index_of_People[[#This Row],[Prefer NickName]]=TRUE,Index_of_People[[#This Row],[Nick Names]],
IF(I254&lt;&gt;"",_xlpm.MarriedName,_xlpm.FamilyName))))</f>
        <v>Nancy Mcleod</v>
      </c>
      <c r="D254" t="b">
        <v>1</v>
      </c>
      <c r="F254" t="s">
        <v>189</v>
      </c>
      <c r="H254" t="s">
        <v>409</v>
      </c>
      <c r="J254"/>
      <c r="K254" t="str">
        <f>IF(Index_of_People[[#This Row],[SpouseID]]="","",IFERROR(INDEX(Index_of_People[Metadata Name],MATCH(Index_of_People[[#This Row],[SpouseID]],Index_of_People[NameID],0)),""))</f>
        <v/>
      </c>
      <c r="L254" s="6"/>
      <c r="M254" s="2" t="s">
        <v>490</v>
      </c>
      <c r="N254" s="2" t="s">
        <v>490</v>
      </c>
      <c r="O254" s="2" t="s">
        <v>490</v>
      </c>
      <c r="P254" t="b">
        <v>0</v>
      </c>
    </row>
    <row r="255" spans="1:16" x14ac:dyDescent="0.25">
      <c r="A255" s="6">
        <v>250</v>
      </c>
      <c r="B255" s="6" t="b">
        <v>0</v>
      </c>
      <c r="C255" t="str">
        <f>_xlfn.LET(
_xlpm.FamilyName,IF(F255="","",F255)&amp;IF(G255="",""," "&amp;G255)&amp;IF(H255="",""," "&amp;H255),
_xlpm.MarriedName,IF(F255="","",F255)&amp;IF(G255="",""," "&amp;G255)&amp;IF(I255="",""," "&amp;I255)&amp;IF(H255="",""," "&amp;"("&amp;H255)&amp;")",
TRIM(IF(Index_of_People[[#This Row],[Prefer NickName]]=TRUE,Index_of_People[[#This Row],[Nick Names]],
IF(I255&lt;&gt;"",_xlpm.MarriedName,_xlpm.FamilyName))))</f>
        <v>Nancy Whitely</v>
      </c>
      <c r="D255" t="b">
        <v>1</v>
      </c>
      <c r="F255" t="s">
        <v>189</v>
      </c>
      <c r="H255" t="s">
        <v>410</v>
      </c>
      <c r="J255"/>
      <c r="K255" t="str">
        <f>IF(Index_of_People[[#This Row],[SpouseID]]="","",IFERROR(INDEX(Index_of_People[Metadata Name],MATCH(Index_of_People[[#This Row],[SpouseID]],Index_of_People[NameID],0)),""))</f>
        <v/>
      </c>
      <c r="L255" s="6"/>
      <c r="M255" s="2" t="s">
        <v>490</v>
      </c>
      <c r="N255" s="2" t="s">
        <v>490</v>
      </c>
      <c r="O255" s="2" t="s">
        <v>490</v>
      </c>
      <c r="P255" t="b">
        <v>0</v>
      </c>
    </row>
    <row r="256" spans="1:16" x14ac:dyDescent="0.25">
      <c r="A256" s="6">
        <v>251</v>
      </c>
      <c r="B256" s="6" t="b">
        <v>0</v>
      </c>
      <c r="C256" t="str">
        <f>_xlfn.LET(
_xlpm.FamilyName,IF(F256="","",F256)&amp;IF(G256="",""," "&amp;G256)&amp;IF(H256="",""," "&amp;H256),
_xlpm.MarriedName,IF(F256="","",F256)&amp;IF(G256="",""," "&amp;G256)&amp;IF(I256="",""," "&amp;I256)&amp;IF(H256="",""," "&amp;"("&amp;H256)&amp;")",
TRIM(IF(Index_of_People[[#This Row],[Prefer NickName]]=TRUE,Index_of_People[[#This Row],[Nick Names]],
IF(I256&lt;&gt;"",_xlpm.MarriedName,_xlpm.FamilyName))))</f>
        <v>Nicholas Bell</v>
      </c>
      <c r="D256" t="b">
        <v>1</v>
      </c>
      <c r="F256" t="s">
        <v>190</v>
      </c>
      <c r="G256" t="s">
        <v>490</v>
      </c>
      <c r="H256" t="s">
        <v>411</v>
      </c>
      <c r="I256" t="s">
        <v>490</v>
      </c>
      <c r="J256" t="s">
        <v>490</v>
      </c>
      <c r="K256" t="str">
        <f>IF(Index_of_People[[#This Row],[SpouseID]]="","",IFERROR(INDEX(Index_of_People[Metadata Name],MATCH(Index_of_People[[#This Row],[SpouseID]],Index_of_People[NameID],0)),""))</f>
        <v/>
      </c>
      <c r="L256" s="6"/>
      <c r="M256" s="2" t="s">
        <v>490</v>
      </c>
      <c r="N256" s="2" t="s">
        <v>490</v>
      </c>
      <c r="O256" s="2" t="s">
        <v>490</v>
      </c>
      <c r="P256" t="b">
        <v>0</v>
      </c>
    </row>
    <row r="257" spans="1:16" x14ac:dyDescent="0.25">
      <c r="A257" s="6">
        <v>252</v>
      </c>
      <c r="B257" s="6" t="b">
        <v>0</v>
      </c>
      <c r="C257" t="str">
        <f>_xlfn.LET(
_xlpm.FamilyName,IF(F257="","",F257)&amp;IF(G257="",""," "&amp;G257)&amp;IF(H257="",""," "&amp;H257),
_xlpm.MarriedName,IF(F257="","",F257)&amp;IF(G257="",""," "&amp;G257)&amp;IF(I257="",""," "&amp;I257)&amp;IF(H257="",""," "&amp;"("&amp;H257)&amp;")",
TRIM(IF(Index_of_People[[#This Row],[Prefer NickName]]=TRUE,Index_of_People[[#This Row],[Nick Names]],
IF(I257&lt;&gt;"",_xlpm.MarriedName,_xlpm.FamilyName))))</f>
        <v>Ninja</v>
      </c>
      <c r="D257" t="b">
        <v>0</v>
      </c>
      <c r="F257" t="s">
        <v>273</v>
      </c>
      <c r="J257" t="s">
        <v>467</v>
      </c>
      <c r="K257" t="str">
        <f>IF(Index_of_People[[#This Row],[SpouseID]]="","",IFERROR(INDEX(Index_of_People[Metadata Name],MATCH(Index_of_People[[#This Row],[SpouseID]],Index_of_People[NameID],0)),""))</f>
        <v/>
      </c>
      <c r="L257" s="6"/>
      <c r="M257" s="2" t="s">
        <v>490</v>
      </c>
      <c r="N257" s="2" t="s">
        <v>490</v>
      </c>
      <c r="O257" s="2" t="s">
        <v>490</v>
      </c>
      <c r="P257" t="b">
        <v>0</v>
      </c>
    </row>
    <row r="258" spans="1:16" x14ac:dyDescent="0.25">
      <c r="A258" s="6">
        <v>253</v>
      </c>
      <c r="B258" s="6" t="b">
        <v>0</v>
      </c>
      <c r="C258" t="str">
        <f>_xlfn.LET(
_xlpm.FamilyName,IF(F258="","",F258)&amp;IF(G258="",""," "&amp;G258)&amp;IF(H258="",""," "&amp;H258),
_xlpm.MarriedName,IF(F258="","",F258)&amp;IF(G258="",""," "&amp;G258)&amp;IF(I258="",""," "&amp;I258)&amp;IF(H258="",""," "&amp;"("&amp;H258)&amp;")",
TRIM(IF(Index_of_People[[#This Row],[Prefer NickName]]=TRUE,Index_of_People[[#This Row],[Nick Names]],
IF(I258&lt;&gt;"",_xlpm.MarriedName,_xlpm.FamilyName))))</f>
        <v>Norman James Wardle</v>
      </c>
      <c r="D258" t="b">
        <v>1</v>
      </c>
      <c r="F258" t="s">
        <v>274</v>
      </c>
      <c r="G258" t="s">
        <v>50</v>
      </c>
      <c r="H258" t="s">
        <v>305</v>
      </c>
      <c r="J258"/>
      <c r="K258" t="str">
        <f>IF(Index_of_People[[#This Row],[SpouseID]]="","",IFERROR(INDEX(Index_of_People[Metadata Name],MATCH(Index_of_People[[#This Row],[SpouseID]],Index_of_People[NameID],0)),""))</f>
        <v>Annie Mary Wardle (Penner)</v>
      </c>
      <c r="L258" s="6">
        <v>25</v>
      </c>
      <c r="M258" s="2">
        <v>12395</v>
      </c>
      <c r="N258" s="2">
        <v>21462</v>
      </c>
      <c r="O258" s="2">
        <v>44235</v>
      </c>
      <c r="P258" t="b">
        <v>1</v>
      </c>
    </row>
    <row r="259" spans="1:16" x14ac:dyDescent="0.25">
      <c r="A259" s="6">
        <v>254</v>
      </c>
      <c r="B259" s="6" t="b">
        <v>0</v>
      </c>
      <c r="C259" t="str">
        <f>_xlfn.LET(
_xlpm.FamilyName,IF(F259="","",F259)&amp;IF(G259="",""," "&amp;G259)&amp;IF(H259="",""," "&amp;H259),
_xlpm.MarriedName,IF(F259="","",F259)&amp;IF(G259="",""," "&amp;G259)&amp;IF(I259="",""," "&amp;I259)&amp;IF(H259="",""," "&amp;"("&amp;H259)&amp;")",
TRIM(IF(Index_of_People[[#This Row],[Prefer NickName]]=TRUE,Index_of_People[[#This Row],[Nick Names]],
IF(I259&lt;&gt;"",_xlpm.MarriedName,_xlpm.FamilyName))))</f>
        <v>Oz</v>
      </c>
      <c r="D259" t="b">
        <v>0</v>
      </c>
      <c r="F259" t="s">
        <v>191</v>
      </c>
      <c r="J259" t="s">
        <v>472</v>
      </c>
      <c r="K259" t="str">
        <f>IF(Index_of_People[[#This Row],[SpouseID]]="","",IFERROR(INDEX(Index_of_People[Metadata Name],MATCH(Index_of_People[[#This Row],[SpouseID]],Index_of_People[NameID],0)),""))</f>
        <v/>
      </c>
      <c r="L259" s="6"/>
      <c r="M259" s="2" t="s">
        <v>490</v>
      </c>
      <c r="N259" s="2" t="s">
        <v>490</v>
      </c>
      <c r="O259" s="2" t="s">
        <v>490</v>
      </c>
      <c r="P259" t="b">
        <v>0</v>
      </c>
    </row>
    <row r="260" spans="1:16" x14ac:dyDescent="0.25">
      <c r="A260" s="6">
        <v>255</v>
      </c>
      <c r="B260" s="6" t="b">
        <v>0</v>
      </c>
      <c r="C260" t="str">
        <f>_xlfn.LET(
_xlpm.FamilyName,IF(F260="","",F260)&amp;IF(G260="",""," "&amp;G260)&amp;IF(H260="",""," "&amp;H260),
_xlpm.MarriedName,IF(F260="","",F260)&amp;IF(G260="",""," "&amp;G260)&amp;IF(I260="",""," "&amp;I260)&amp;IF(H260="",""," "&amp;"("&amp;H260)&amp;")",
TRIM(IF(Index_of_People[[#This Row],[Prefer NickName]]=TRUE,Index_of_People[[#This Row],[Nick Names]],
IF(I260&lt;&gt;"",_xlpm.MarriedName,_xlpm.FamilyName))))</f>
        <v>Pam Blackstone</v>
      </c>
      <c r="D260" t="b">
        <v>1</v>
      </c>
      <c r="F260" t="s">
        <v>192</v>
      </c>
      <c r="G260" t="s">
        <v>490</v>
      </c>
      <c r="H260" t="s">
        <v>412</v>
      </c>
      <c r="I260" t="s">
        <v>490</v>
      </c>
      <c r="J260" t="s">
        <v>490</v>
      </c>
      <c r="K260" t="str">
        <f>IF(Index_of_People[[#This Row],[SpouseID]]="","",IFERROR(INDEX(Index_of_People[Metadata Name],MATCH(Index_of_People[[#This Row],[SpouseID]],Index_of_People[NameID],0)),""))</f>
        <v/>
      </c>
      <c r="L260" s="6"/>
      <c r="M260" s="2">
        <v>18689</v>
      </c>
      <c r="N260" s="2" t="s">
        <v>490</v>
      </c>
      <c r="O260" s="2" t="s">
        <v>490</v>
      </c>
      <c r="P260" t="b">
        <v>1</v>
      </c>
    </row>
    <row r="261" spans="1:16" x14ac:dyDescent="0.25">
      <c r="A261" s="6">
        <v>256</v>
      </c>
      <c r="B261" s="6" t="b">
        <v>0</v>
      </c>
      <c r="C261" t="str">
        <f>_xlfn.LET(
_xlpm.FamilyName,IF(F261="","",F261)&amp;IF(G261="",""," "&amp;G261)&amp;IF(H261="",""," "&amp;H261),
_xlpm.MarriedName,IF(F261="","",F261)&amp;IF(G261="",""," "&amp;G261)&amp;IF(I261="",""," "&amp;I261)&amp;IF(H261="",""," "&amp;"("&amp;H261)&amp;")",
TRIM(IF(Index_of_People[[#This Row],[Prefer NickName]]=TRUE,Index_of_People[[#This Row],[Nick Names]],
IF(I261&lt;&gt;"",_xlpm.MarriedName,_xlpm.FamilyName))))</f>
        <v>Pam Salloway</v>
      </c>
      <c r="D261" t="b">
        <v>1</v>
      </c>
      <c r="F261" t="s">
        <v>192</v>
      </c>
      <c r="H261" t="s">
        <v>413</v>
      </c>
      <c r="J261"/>
      <c r="K261" t="str">
        <f>IF(Index_of_People[[#This Row],[SpouseID]]="","",IFERROR(INDEX(Index_of_People[Metadata Name],MATCH(Index_of_People[[#This Row],[SpouseID]],Index_of_People[NameID],0)),""))</f>
        <v/>
      </c>
      <c r="L261" s="6"/>
      <c r="M261" s="2" t="s">
        <v>490</v>
      </c>
      <c r="N261" s="2" t="s">
        <v>490</v>
      </c>
      <c r="O261" s="2" t="s">
        <v>490</v>
      </c>
      <c r="P261" t="b">
        <v>0</v>
      </c>
    </row>
    <row r="262" spans="1:16" x14ac:dyDescent="0.25">
      <c r="A262" s="6">
        <v>257</v>
      </c>
      <c r="B262" s="6" t="b">
        <v>0</v>
      </c>
      <c r="C262" t="str">
        <f>_xlfn.LET(
_xlpm.FamilyName,IF(F262="","",F262)&amp;IF(G262="",""," "&amp;G262)&amp;IF(H262="",""," "&amp;H262),
_xlpm.MarriedName,IF(F262="","",F262)&amp;IF(G262="",""," "&amp;G262)&amp;IF(I262="",""," "&amp;I262)&amp;IF(H262="",""," "&amp;"("&amp;H262)&amp;")",
TRIM(IF(Index_of_People[[#This Row],[Prefer NickName]]=TRUE,Index_of_People[[#This Row],[Nick Names]],
IF(I262&lt;&gt;"",_xlpm.MarriedName,_xlpm.FamilyName))))</f>
        <v>Pamela Lynne Heath (Norris)</v>
      </c>
      <c r="D262" t="b">
        <v>1</v>
      </c>
      <c r="E262" t="s">
        <v>185</v>
      </c>
      <c r="F262" t="s">
        <v>275</v>
      </c>
      <c r="G262" t="s">
        <v>414</v>
      </c>
      <c r="H262" t="s">
        <v>326</v>
      </c>
      <c r="I262" t="s">
        <v>314</v>
      </c>
      <c r="J262" t="s">
        <v>490</v>
      </c>
      <c r="K262" t="str">
        <f>IF(Index_of_People[[#This Row],[SpouseID]]="","",IFERROR(INDEX(Index_of_People[Metadata Name],MATCH(Index_of_People[[#This Row],[SpouseID]],Index_of_People[NameID],0)),""))</f>
        <v>Curtis Heath</v>
      </c>
      <c r="L262" s="6">
        <v>68</v>
      </c>
      <c r="M262" s="2">
        <v>27024</v>
      </c>
      <c r="N262" s="2">
        <v>35932</v>
      </c>
      <c r="O262" s="2" t="s">
        <v>490</v>
      </c>
      <c r="P262" t="b">
        <v>1</v>
      </c>
    </row>
    <row r="263" spans="1:16" x14ac:dyDescent="0.25">
      <c r="A263" s="6">
        <v>258</v>
      </c>
      <c r="B263" s="6" t="b">
        <v>0</v>
      </c>
      <c r="C263" t="str">
        <f>_xlfn.LET(
_xlpm.FamilyName,IF(F263="","",F263)&amp;IF(G263="",""," "&amp;G263)&amp;IF(H263="",""," "&amp;H263),
_xlpm.MarriedName,IF(F263="","",F263)&amp;IF(G263="",""," "&amp;G263)&amp;IF(I263="",""," "&amp;I263)&amp;IF(H263="",""," "&amp;"("&amp;H263)&amp;")",
TRIM(IF(Index_of_People[[#This Row],[Prefer NickName]]=TRUE,Index_of_People[[#This Row],[Nick Names]],
IF(I263&lt;&gt;"",_xlpm.MarriedName,_xlpm.FamilyName))))</f>
        <v>Papa</v>
      </c>
      <c r="D263" t="b">
        <v>0</v>
      </c>
      <c r="F263" t="s">
        <v>476</v>
      </c>
      <c r="J263"/>
      <c r="K263" t="str">
        <f>IF(Index_of_People[[#This Row],[SpouseID]]="","",IFERROR(INDEX(Index_of_People[Metadata Name],MATCH(Index_of_People[[#This Row],[SpouseID]],Index_of_People[NameID],0)),""))</f>
        <v/>
      </c>
      <c r="L263" s="6"/>
      <c r="M263" s="2" t="s">
        <v>490</v>
      </c>
      <c r="N263" s="2" t="s">
        <v>490</v>
      </c>
      <c r="O263" s="2" t="s">
        <v>490</v>
      </c>
      <c r="P263" t="b">
        <v>0</v>
      </c>
    </row>
    <row r="264" spans="1:16" x14ac:dyDescent="0.25">
      <c r="A264" s="6">
        <v>259</v>
      </c>
      <c r="B264" s="6" t="b">
        <v>0</v>
      </c>
      <c r="C264" t="str">
        <f>_xlfn.LET(
_xlpm.FamilyName,IF(F264="","",F264)&amp;IF(G264="",""," "&amp;G264)&amp;IF(H264="",""," "&amp;H264),
_xlpm.MarriedName,IF(F264="","",F264)&amp;IF(G264="",""," "&amp;G264)&amp;IF(I264="",""," "&amp;I264)&amp;IF(H264="",""," "&amp;"("&amp;H264)&amp;")",
TRIM(IF(Index_of_People[[#This Row],[Prefer NickName]]=TRUE,Index_of_People[[#This Row],[Nick Names]],
IF(I264&lt;&gt;"",_xlpm.MarriedName,_xlpm.FamilyName))))</f>
        <v>Pat</v>
      </c>
      <c r="D264" t="b">
        <v>1</v>
      </c>
      <c r="F264" t="s">
        <v>35</v>
      </c>
      <c r="J264"/>
      <c r="K264" t="str">
        <f>IF(Index_of_People[[#This Row],[SpouseID]]="","",IFERROR(INDEX(Index_of_People[Metadata Name],MATCH(Index_of_People[[#This Row],[SpouseID]],Index_of_People[NameID],0)),""))</f>
        <v/>
      </c>
      <c r="L264" s="6"/>
      <c r="M264" s="2" t="s">
        <v>490</v>
      </c>
      <c r="N264" s="2" t="s">
        <v>490</v>
      </c>
      <c r="O264" s="2" t="s">
        <v>490</v>
      </c>
      <c r="P264" t="b">
        <v>0</v>
      </c>
    </row>
    <row r="265" spans="1:16" x14ac:dyDescent="0.25">
      <c r="A265" s="6">
        <v>260</v>
      </c>
      <c r="B265" s="6" t="b">
        <v>0</v>
      </c>
      <c r="C265" t="str">
        <f>_xlfn.LET(
_xlpm.FamilyName,IF(F265="","",F265)&amp;IF(G265="",""," "&amp;G265)&amp;IF(H265="",""," "&amp;H265),
_xlpm.MarriedName,IF(F265="","",F265)&amp;IF(G265="",""," "&amp;G265)&amp;IF(I265="",""," "&amp;I265)&amp;IF(H265="",""," "&amp;"("&amp;H265)&amp;")",
TRIM(IF(Index_of_People[[#This Row],[Prefer NickName]]=TRUE,Index_of_People[[#This Row],[Nick Names]],
IF(I265&lt;&gt;"",_xlpm.MarriedName,_xlpm.FamilyName))))</f>
        <v>Patrica Lynne Norris (Barker)</v>
      </c>
      <c r="D265" t="b">
        <v>1</v>
      </c>
      <c r="F265" t="s">
        <v>276</v>
      </c>
      <c r="G265" t="s">
        <v>414</v>
      </c>
      <c r="H265" t="s">
        <v>312</v>
      </c>
      <c r="I265" t="s">
        <v>326</v>
      </c>
      <c r="J265"/>
      <c r="K265" t="str">
        <f>IF(Index_of_People[[#This Row],[SpouseID]]="","",IFERROR(INDEX(Index_of_People[Metadata Name],MATCH(Index_of_People[[#This Row],[SpouseID]],Index_of_People[NameID],0)),""))</f>
        <v>Wayne William Norris</v>
      </c>
      <c r="L265" s="6">
        <v>356</v>
      </c>
      <c r="M265" s="2">
        <v>18091</v>
      </c>
      <c r="N265" s="2">
        <v>25354</v>
      </c>
      <c r="P265" t="b">
        <v>1</v>
      </c>
    </row>
    <row r="266" spans="1:16" x14ac:dyDescent="0.25">
      <c r="A266" s="6">
        <v>261</v>
      </c>
      <c r="B266" s="6" t="b">
        <v>0</v>
      </c>
      <c r="C266" t="str">
        <f>_xlfn.LET(
_xlpm.FamilyName,IF(F266="","",F266)&amp;IF(G266="",""," "&amp;G266)&amp;IF(H266="",""," "&amp;H266),
_xlpm.MarriedName,IF(F266="","",F266)&amp;IF(G266="",""," "&amp;G266)&amp;IF(I266="",""," "&amp;I266)&amp;IF(H266="",""," "&amp;"("&amp;H266)&amp;")",
TRIM(IF(Index_of_People[[#This Row],[Prefer NickName]]=TRUE,Index_of_People[[#This Row],[Nick Names]],
IF(I266&lt;&gt;"",_xlpm.MarriedName,_xlpm.FamilyName))))</f>
        <v>Paul Blackett</v>
      </c>
      <c r="D266" t="b">
        <v>1</v>
      </c>
      <c r="F266" t="s">
        <v>193</v>
      </c>
      <c r="G266" t="s">
        <v>490</v>
      </c>
      <c r="H266" t="s">
        <v>381</v>
      </c>
      <c r="I266" t="s">
        <v>490</v>
      </c>
      <c r="J266" t="s">
        <v>490</v>
      </c>
      <c r="K266" t="str">
        <f>IF(Index_of_People[[#This Row],[SpouseID]]="","",IFERROR(INDEX(Index_of_People[Metadata Name],MATCH(Index_of_People[[#This Row],[SpouseID]],Index_of_People[NameID],0)),""))</f>
        <v/>
      </c>
      <c r="L266" s="6"/>
      <c r="M266" s="2" t="s">
        <v>490</v>
      </c>
      <c r="N266" s="2" t="s">
        <v>490</v>
      </c>
      <c r="O266" s="2" t="s">
        <v>490</v>
      </c>
      <c r="P266" t="b">
        <v>0</v>
      </c>
    </row>
    <row r="267" spans="1:16" x14ac:dyDescent="0.25">
      <c r="A267" s="6">
        <v>262</v>
      </c>
      <c r="B267" s="6" t="b">
        <v>0</v>
      </c>
      <c r="C267" t="str">
        <f>_xlfn.LET(
_xlpm.FamilyName,IF(F267="","",F267)&amp;IF(G267="",""," "&amp;G267)&amp;IF(H267="",""," "&amp;H267),
_xlpm.MarriedName,IF(F267="","",F267)&amp;IF(G267="",""," "&amp;G267)&amp;IF(I267="",""," "&amp;I267)&amp;IF(H267="",""," "&amp;"("&amp;H267)&amp;")",
TRIM(IF(Index_of_People[[#This Row],[Prefer NickName]]=TRUE,Index_of_People[[#This Row],[Nick Names]],
IF(I267&lt;&gt;"",_xlpm.MarriedName,_xlpm.FamilyName))))</f>
        <v>Peter Njume</v>
      </c>
      <c r="D267" t="b">
        <v>1</v>
      </c>
      <c r="F267" t="s">
        <v>194</v>
      </c>
      <c r="H267" t="s">
        <v>298</v>
      </c>
      <c r="J267"/>
      <c r="K267" t="str">
        <f>IF(Index_of_People[[#This Row],[SpouseID]]="","",IFERROR(INDEX(Index_of_People[Metadata Name],MATCH(Index_of_People[[#This Row],[SpouseID]],Index_of_People[NameID],0)),""))</f>
        <v/>
      </c>
      <c r="L267" s="6"/>
      <c r="M267" s="2" t="s">
        <v>490</v>
      </c>
      <c r="N267" s="2" t="s">
        <v>490</v>
      </c>
      <c r="O267" s="2" t="s">
        <v>490</v>
      </c>
      <c r="P267" t="b">
        <v>0</v>
      </c>
    </row>
    <row r="268" spans="1:16" x14ac:dyDescent="0.25">
      <c r="A268" s="6">
        <v>263</v>
      </c>
      <c r="B268" s="6" t="b">
        <v>0</v>
      </c>
      <c r="C268" t="str">
        <f>_xlfn.LET(
_xlpm.FamilyName,IF(F268="","",F268)&amp;IF(G268="",""," "&amp;G268)&amp;IF(H268="",""," "&amp;H268),
_xlpm.MarriedName,IF(F268="","",F268)&amp;IF(G268="",""," "&amp;G268)&amp;IF(I268="",""," "&amp;I268)&amp;IF(H268="",""," "&amp;"("&amp;H268)&amp;")",
TRIM(IF(Index_of_People[[#This Row],[Prefer NickName]]=TRUE,Index_of_People[[#This Row],[Nick Names]],
IF(I268&lt;&gt;"",_xlpm.MarriedName,_xlpm.FamilyName))))</f>
        <v>Peter Taylor</v>
      </c>
      <c r="D268" t="b">
        <v>1</v>
      </c>
      <c r="F268" t="s">
        <v>194</v>
      </c>
      <c r="H268" t="s">
        <v>16</v>
      </c>
      <c r="J268"/>
      <c r="K268" t="str">
        <f>IF(Index_of_People[[#This Row],[SpouseID]]="","",IFERROR(INDEX(Index_of_People[Metadata Name],MATCH(Index_of_People[[#This Row],[SpouseID]],Index_of_People[NameID],0)),""))</f>
        <v/>
      </c>
      <c r="L268" s="6"/>
      <c r="M268" s="2" t="s">
        <v>490</v>
      </c>
      <c r="N268" s="2" t="s">
        <v>490</v>
      </c>
      <c r="O268" s="2" t="s">
        <v>490</v>
      </c>
      <c r="P268" t="b">
        <v>0</v>
      </c>
    </row>
    <row r="269" spans="1:16" x14ac:dyDescent="0.25">
      <c r="A269" s="6">
        <v>264</v>
      </c>
      <c r="B269" s="6" t="b">
        <v>0</v>
      </c>
      <c r="C269" t="str">
        <f>_xlfn.LET(
_xlpm.FamilyName,IF(F269="","",F269)&amp;IF(G269="",""," "&amp;G269)&amp;IF(H269="",""," "&amp;H269),
_xlpm.MarriedName,IF(F269="","",F269)&amp;IF(G269="",""," "&amp;G269)&amp;IF(I269="",""," "&amp;I269)&amp;IF(H269="",""," "&amp;"("&amp;H269)&amp;")",
TRIM(IF(Index_of_People[[#This Row],[Prefer NickName]]=TRUE,Index_of_People[[#This Row],[Nick Names]],
IF(I269&lt;&gt;"",_xlpm.MarriedName,_xlpm.FamilyName))))</f>
        <v>Peter William Woods</v>
      </c>
      <c r="D269" t="b">
        <v>1</v>
      </c>
      <c r="F269" t="s">
        <v>194</v>
      </c>
      <c r="G269" t="s">
        <v>233</v>
      </c>
      <c r="H269" t="s">
        <v>302</v>
      </c>
      <c r="J269"/>
      <c r="K269" t="str">
        <f>IF(Index_of_People[[#This Row],[SpouseID]]="","",IFERROR(INDEX(Index_of_People[Metadata Name],MATCH(Index_of_People[[#This Row],[SpouseID]],Index_of_People[NameID],0)),""))</f>
        <v/>
      </c>
      <c r="L269" s="6"/>
      <c r="M269" s="2" t="s">
        <v>490</v>
      </c>
      <c r="N269" s="2" t="s">
        <v>490</v>
      </c>
      <c r="O269" s="2" t="s">
        <v>490</v>
      </c>
      <c r="P269" t="b">
        <v>1</v>
      </c>
    </row>
    <row r="270" spans="1:16" x14ac:dyDescent="0.25">
      <c r="A270" s="6">
        <v>265</v>
      </c>
      <c r="B270" s="6" t="b">
        <v>0</v>
      </c>
      <c r="C270" t="str">
        <f>_xlfn.LET(
_xlpm.FamilyName,IF(F270="","",F270)&amp;IF(G270="",""," "&amp;G270)&amp;IF(H270="",""," "&amp;H270),
_xlpm.MarriedName,IF(F270="","",F270)&amp;IF(G270="",""," "&amp;G270)&amp;IF(I270="",""," "&amp;I270)&amp;IF(H270="",""," "&amp;"("&amp;H270)&amp;")",
TRIM(IF(Index_of_People[[#This Row],[Prefer NickName]]=TRUE,Index_of_People[[#This Row],[Nick Names]],
IF(I270&lt;&gt;"",_xlpm.MarriedName,_xlpm.FamilyName))))</f>
        <v>Peter Zorn</v>
      </c>
      <c r="D270" t="b">
        <v>1</v>
      </c>
      <c r="F270" t="s">
        <v>194</v>
      </c>
      <c r="H270" t="s">
        <v>415</v>
      </c>
      <c r="J270"/>
      <c r="K270" t="str">
        <f>IF(Index_of_People[[#This Row],[SpouseID]]="","",IFERROR(INDEX(Index_of_People[Metadata Name],MATCH(Index_of_People[[#This Row],[SpouseID]],Index_of_People[NameID],0)),""))</f>
        <v/>
      </c>
      <c r="L270" s="6"/>
      <c r="M270" s="2" t="s">
        <v>490</v>
      </c>
      <c r="N270" s="2" t="s">
        <v>490</v>
      </c>
      <c r="O270" s="2" t="s">
        <v>490</v>
      </c>
      <c r="P270" t="b">
        <v>0</v>
      </c>
    </row>
    <row r="271" spans="1:16" x14ac:dyDescent="0.25">
      <c r="A271" s="6">
        <v>266</v>
      </c>
      <c r="B271" s="6" t="b">
        <v>0</v>
      </c>
      <c r="C271" t="str">
        <f>_xlfn.LET(
_xlpm.FamilyName,IF(F271="","",F271)&amp;IF(G271="",""," "&amp;G271)&amp;IF(H271="",""," "&amp;H271),
_xlpm.MarriedName,IF(F271="","",F271)&amp;IF(G271="",""," "&amp;G271)&amp;IF(I271="",""," "&amp;I271)&amp;IF(H271="",""," "&amp;"("&amp;H271)&amp;")",
TRIM(IF(Index_of_People[[#This Row],[Prefer NickName]]=TRUE,Index_of_People[[#This Row],[Nick Names]],
IF(I271&lt;&gt;"",_xlpm.MarriedName,_xlpm.FamilyName))))</f>
        <v>Phaedra</v>
      </c>
      <c r="D271" t="b">
        <v>1</v>
      </c>
      <c r="F271" t="s">
        <v>59</v>
      </c>
      <c r="J271"/>
      <c r="K271" t="str">
        <f>IF(Index_of_People[[#This Row],[SpouseID]]="","",IFERROR(INDEX(Index_of_People[Metadata Name],MATCH(Index_of_People[[#This Row],[SpouseID]],Index_of_People[NameID],0)),""))</f>
        <v/>
      </c>
      <c r="L271" s="6"/>
      <c r="M271" s="2" t="s">
        <v>490</v>
      </c>
      <c r="N271" s="2" t="s">
        <v>490</v>
      </c>
      <c r="O271" s="2" t="s">
        <v>490</v>
      </c>
      <c r="P271" t="b">
        <v>0</v>
      </c>
    </row>
    <row r="272" spans="1:16" x14ac:dyDescent="0.25">
      <c r="A272" s="6">
        <v>267</v>
      </c>
      <c r="B272" s="6" t="b">
        <v>0</v>
      </c>
      <c r="C272" t="str">
        <f>_xlfn.LET(
_xlpm.FamilyName,IF(F272="","",F272)&amp;IF(G272="",""," "&amp;G272)&amp;IF(H272="",""," "&amp;H272),
_xlpm.MarriedName,IF(F272="","",F272)&amp;IF(G272="",""," "&amp;G272)&amp;IF(I272="",""," "&amp;I272)&amp;IF(H272="",""," "&amp;"("&amp;H272)&amp;")",
TRIM(IF(Index_of_People[[#This Row],[Prefer NickName]]=TRUE,Index_of_People[[#This Row],[Nick Names]],
IF(I272&lt;&gt;"",_xlpm.MarriedName,_xlpm.FamilyName))))</f>
        <v>Philip Moydl</v>
      </c>
      <c r="D272" t="b">
        <v>1</v>
      </c>
      <c r="F272" t="s">
        <v>195</v>
      </c>
      <c r="H272" t="s">
        <v>416</v>
      </c>
      <c r="J272"/>
      <c r="K272" t="str">
        <f>IF(Index_of_People[[#This Row],[SpouseID]]="","",IFERROR(INDEX(Index_of_People[Metadata Name],MATCH(Index_of_People[[#This Row],[SpouseID]],Index_of_People[NameID],0)),""))</f>
        <v/>
      </c>
      <c r="L272" s="6"/>
      <c r="M272" s="2" t="s">
        <v>490</v>
      </c>
      <c r="N272" s="2" t="s">
        <v>490</v>
      </c>
      <c r="O272" s="2" t="s">
        <v>490</v>
      </c>
      <c r="P272" t="b">
        <v>0</v>
      </c>
    </row>
    <row r="273" spans="1:16" x14ac:dyDescent="0.25">
      <c r="A273" s="6">
        <v>268</v>
      </c>
      <c r="B273" s="6" t="b">
        <v>0</v>
      </c>
      <c r="C273" t="str">
        <f>_xlfn.LET(
_xlpm.FamilyName,IF(F273="","",F273)&amp;IF(G273="",""," "&amp;G273)&amp;IF(H273="",""," "&amp;H273),
_xlpm.MarriedName,IF(F273="","",F273)&amp;IF(G273="",""," "&amp;G273)&amp;IF(I273="",""," "&amp;I273)&amp;IF(H273="",""," "&amp;"("&amp;H273)&amp;")",
TRIM(IF(Index_of_People[[#This Row],[Prefer NickName]]=TRUE,Index_of_People[[#This Row],[Nick Names]],
IF(I273&lt;&gt;"",_xlpm.MarriedName,_xlpm.FamilyName))))</f>
        <v>Phyllis</v>
      </c>
      <c r="D273" t="b">
        <v>0</v>
      </c>
      <c r="F273" t="s">
        <v>60</v>
      </c>
      <c r="J273"/>
      <c r="K273" t="str">
        <f>IF(Index_of_People[[#This Row],[SpouseID]]="","",IFERROR(INDEX(Index_of_People[Metadata Name],MATCH(Index_of_People[[#This Row],[SpouseID]],Index_of_People[NameID],0)),""))</f>
        <v/>
      </c>
      <c r="L273" s="6"/>
      <c r="M273" s="2" t="s">
        <v>490</v>
      </c>
      <c r="N273" s="2" t="s">
        <v>490</v>
      </c>
      <c r="O273" s="2" t="s">
        <v>490</v>
      </c>
      <c r="P273" t="b">
        <v>0</v>
      </c>
    </row>
    <row r="274" spans="1:16" x14ac:dyDescent="0.25">
      <c r="A274" s="6">
        <v>269</v>
      </c>
      <c r="B274" s="6" t="b">
        <v>0</v>
      </c>
      <c r="C274" t="str">
        <f>_xlfn.LET(
_xlpm.FamilyName,IF(F274="","",F274)&amp;IF(G274="",""," "&amp;G274)&amp;IF(H274="",""," "&amp;H274),
_xlpm.MarriedName,IF(F274="","",F274)&amp;IF(G274="",""," "&amp;G274)&amp;IF(I274="",""," "&amp;I274)&amp;IF(H274="",""," "&amp;"("&amp;H274)&amp;")",
TRIM(IF(Index_of_People[[#This Row],[Prefer NickName]]=TRUE,Index_of_People[[#This Row],[Nick Names]],
IF(I274&lt;&gt;"",_xlpm.MarriedName,_xlpm.FamilyName))))</f>
        <v>PJ Sallaway</v>
      </c>
      <c r="D274" t="b">
        <v>0</v>
      </c>
      <c r="F274" t="s">
        <v>196</v>
      </c>
      <c r="H274" t="s">
        <v>417</v>
      </c>
      <c r="J274"/>
      <c r="K274" t="str">
        <f>IF(Index_of_People[[#This Row],[SpouseID]]="","",IFERROR(INDEX(Index_of_People[Metadata Name],MATCH(Index_of_People[[#This Row],[SpouseID]],Index_of_People[NameID],0)),""))</f>
        <v/>
      </c>
      <c r="L274" s="6"/>
      <c r="M274" s="2" t="s">
        <v>490</v>
      </c>
      <c r="N274" s="2" t="s">
        <v>490</v>
      </c>
      <c r="O274" s="2" t="s">
        <v>490</v>
      </c>
      <c r="P274" t="b">
        <v>0</v>
      </c>
    </row>
    <row r="275" spans="1:16" x14ac:dyDescent="0.25">
      <c r="A275" s="6">
        <v>270</v>
      </c>
      <c r="B275" s="6" t="b">
        <v>0</v>
      </c>
      <c r="C275" t="str">
        <f>_xlfn.LET(
_xlpm.FamilyName,IF(F275="","",F275)&amp;IF(G275="",""," "&amp;G275)&amp;IF(H275="",""," "&amp;H275),
_xlpm.MarriedName,IF(F275="","",F275)&amp;IF(G275="",""," "&amp;G275)&amp;IF(I275="",""," "&amp;I275)&amp;IF(H275="",""," "&amp;"("&amp;H275)&amp;")",
TRIM(IF(Index_of_People[[#This Row],[Prefer NickName]]=TRUE,Index_of_People[[#This Row],[Nick Names]],
IF(I275&lt;&gt;"",_xlpm.MarriedName,_xlpm.FamilyName))))</f>
        <v>Raina</v>
      </c>
      <c r="D275" t="b">
        <v>1</v>
      </c>
      <c r="F275" t="s">
        <v>27</v>
      </c>
      <c r="J275"/>
      <c r="K275" t="str">
        <f>IF(Index_of_People[[#This Row],[SpouseID]]="","",IFERROR(INDEX(Index_of_People[Metadata Name],MATCH(Index_of_People[[#This Row],[SpouseID]],Index_of_People[NameID],0)),""))</f>
        <v/>
      </c>
      <c r="L275" s="6"/>
      <c r="M275" s="2" t="s">
        <v>490</v>
      </c>
      <c r="N275" s="2" t="s">
        <v>490</v>
      </c>
      <c r="O275" s="2" t="s">
        <v>490</v>
      </c>
      <c r="P275" t="b">
        <v>0</v>
      </c>
    </row>
    <row r="276" spans="1:16" x14ac:dyDescent="0.25">
      <c r="A276" s="6">
        <v>271</v>
      </c>
      <c r="B276" s="6" t="b">
        <v>0</v>
      </c>
      <c r="C276" t="str">
        <f>_xlfn.LET(
_xlpm.FamilyName,IF(F276="","",F276)&amp;IF(G276="",""," "&amp;G276)&amp;IF(H276="",""," "&amp;H276),
_xlpm.MarriedName,IF(F276="","",F276)&amp;IF(G276="",""," "&amp;G276)&amp;IF(I276="",""," "&amp;I276)&amp;IF(H276="",""," "&amp;"("&amp;H276)&amp;")",
TRIM(IF(Index_of_People[[#This Row],[Prefer NickName]]=TRUE,Index_of_People[[#This Row],[Nick Names]],
IF(I276&lt;&gt;"",_xlpm.MarriedName,_xlpm.FamilyName))))</f>
        <v>Rene Van Wijngaarden</v>
      </c>
      <c r="D276" t="b">
        <v>1</v>
      </c>
      <c r="F276" t="s">
        <v>277</v>
      </c>
      <c r="H276" t="s">
        <v>454</v>
      </c>
      <c r="J276"/>
      <c r="K276" t="str">
        <f>IF(Index_of_People[[#This Row],[SpouseID]]="","",IFERROR(INDEX(Index_of_People[Metadata Name],MATCH(Index_of_People[[#This Row],[SpouseID]],Index_of_People[NameID],0)),""))</f>
        <v/>
      </c>
      <c r="L276" s="6"/>
      <c r="M276" s="2" t="s">
        <v>490</v>
      </c>
      <c r="N276" s="2" t="s">
        <v>490</v>
      </c>
      <c r="O276" s="2" t="s">
        <v>490</v>
      </c>
      <c r="P276" t="b">
        <v>0</v>
      </c>
    </row>
    <row r="277" spans="1:16" x14ac:dyDescent="0.25">
      <c r="A277" s="6">
        <v>272</v>
      </c>
      <c r="B277" s="6" t="b">
        <v>0</v>
      </c>
      <c r="C277" t="str">
        <f>_xlfn.LET(
_xlpm.FamilyName,IF(F277="","",F277)&amp;IF(G277="",""," "&amp;G277)&amp;IF(H277="",""," "&amp;H277),
_xlpm.MarriedName,IF(F277="","",F277)&amp;IF(G277="",""," "&amp;G277)&amp;IF(I277="",""," "&amp;I277)&amp;IF(H277="",""," "&amp;"("&amp;H277)&amp;")",
TRIM(IF(Index_of_People[[#This Row],[Prefer NickName]]=TRUE,Index_of_People[[#This Row],[Nick Names]],
IF(I277&lt;&gt;"",_xlpm.MarriedName,_xlpm.FamilyName))))</f>
        <v>Rhonda Batt</v>
      </c>
      <c r="D277" t="b">
        <v>1</v>
      </c>
      <c r="F277" t="s">
        <v>197</v>
      </c>
      <c r="G277" t="s">
        <v>490</v>
      </c>
      <c r="H277" t="s">
        <v>418</v>
      </c>
      <c r="I277" t="s">
        <v>490</v>
      </c>
      <c r="J277" t="s">
        <v>490</v>
      </c>
      <c r="K277" t="str">
        <f>IF(Index_of_People[[#This Row],[SpouseID]]="","",IFERROR(INDEX(Index_of_People[Metadata Name],MATCH(Index_of_People[[#This Row],[SpouseID]],Index_of_People[NameID],0)),""))</f>
        <v/>
      </c>
      <c r="L277" s="6"/>
      <c r="M277" s="2" t="s">
        <v>490</v>
      </c>
      <c r="N277" s="2" t="s">
        <v>490</v>
      </c>
      <c r="O277" s="2" t="s">
        <v>490</v>
      </c>
      <c r="P277" t="b">
        <v>0</v>
      </c>
    </row>
    <row r="278" spans="1:16" x14ac:dyDescent="0.25">
      <c r="A278" s="6">
        <v>273</v>
      </c>
      <c r="B278" s="6" t="b">
        <v>0</v>
      </c>
      <c r="C278" t="str">
        <f>_xlfn.LET(
_xlpm.FamilyName,IF(F278="","",F278)&amp;IF(G278="",""," "&amp;G278)&amp;IF(H278="",""," "&amp;H278),
_xlpm.MarriedName,IF(F278="","",F278)&amp;IF(G278="",""," "&amp;G278)&amp;IF(I278="",""," "&amp;I278)&amp;IF(H278="",""," "&amp;"("&amp;H278)&amp;")",
TRIM(IF(Index_of_People[[#This Row],[Prefer NickName]]=TRUE,Index_of_People[[#This Row],[Nick Names]],
IF(I278&lt;&gt;"",_xlpm.MarriedName,_xlpm.FamilyName))))</f>
        <v>Rhonda Roy</v>
      </c>
      <c r="D278" t="b">
        <v>1</v>
      </c>
      <c r="F278" t="s">
        <v>197</v>
      </c>
      <c r="H278" t="s">
        <v>13</v>
      </c>
      <c r="J278"/>
      <c r="K278" t="str">
        <f>IF(Index_of_People[[#This Row],[SpouseID]]="","",IFERROR(INDEX(Index_of_People[Metadata Name],MATCH(Index_of_People[[#This Row],[SpouseID]],Index_of_People[NameID],0)),""))</f>
        <v/>
      </c>
      <c r="L278" s="6"/>
      <c r="M278" s="2" t="s">
        <v>490</v>
      </c>
      <c r="N278" s="2" t="s">
        <v>490</v>
      </c>
      <c r="O278" s="2" t="s">
        <v>490</v>
      </c>
      <c r="P278" t="b">
        <v>0</v>
      </c>
    </row>
    <row r="279" spans="1:16" x14ac:dyDescent="0.25">
      <c r="A279" s="6">
        <v>274</v>
      </c>
      <c r="B279" s="6" t="b">
        <v>0</v>
      </c>
      <c r="C279" t="str">
        <f>_xlfn.LET(
_xlpm.FamilyName,IF(F279="","",F279)&amp;IF(G279="",""," "&amp;G279)&amp;IF(H279="",""," "&amp;H279),
_xlpm.MarriedName,IF(F279="","",F279)&amp;IF(G279="",""," "&amp;G279)&amp;IF(I279="",""," "&amp;I279)&amp;IF(H279="",""," "&amp;"("&amp;H279)&amp;")",
TRIM(IF(Index_of_People[[#This Row],[Prefer NickName]]=TRUE,Index_of_People[[#This Row],[Nick Names]],
IF(I279&lt;&gt;"",_xlpm.MarriedName,_xlpm.FamilyName))))</f>
        <v>Rhonda Wood</v>
      </c>
      <c r="D279" t="b">
        <v>1</v>
      </c>
      <c r="F279" t="s">
        <v>197</v>
      </c>
      <c r="H279" t="s">
        <v>368</v>
      </c>
      <c r="J279"/>
      <c r="K279" t="str">
        <f>IF(Index_of_People[[#This Row],[SpouseID]]="","",IFERROR(INDEX(Index_of_People[Metadata Name],MATCH(Index_of_People[[#This Row],[SpouseID]],Index_of_People[NameID],0)),""))</f>
        <v/>
      </c>
      <c r="L279" s="6"/>
      <c r="M279" s="2" t="s">
        <v>490</v>
      </c>
      <c r="N279" s="2" t="s">
        <v>490</v>
      </c>
      <c r="O279" s="2" t="s">
        <v>490</v>
      </c>
      <c r="P279" t="b">
        <v>0</v>
      </c>
    </row>
    <row r="280" spans="1:16" x14ac:dyDescent="0.25">
      <c r="A280" s="6">
        <v>275</v>
      </c>
      <c r="B280" s="6" t="b">
        <v>1</v>
      </c>
      <c r="C280" t="str">
        <f>_xlfn.LET(
_xlpm.FamilyName,IF(F280="","",F280)&amp;IF(G280="",""," "&amp;G280)&amp;IF(H280="",""," "&amp;H280),
_xlpm.MarriedName,IF(F280="","",F280)&amp;IF(G280="",""," "&amp;G280)&amp;IF(I280="",""," "&amp;I280)&amp;IF(H280="",""," "&amp;"("&amp;H280)&amp;")",
TRIM(IF(Index_of_People[[#This Row],[Prefer NickName]]=TRUE,Index_of_People[[#This Row],[Nick Names]],
IF(I280&lt;&gt;"",_xlpm.MarriedName,_xlpm.FamilyName))))</f>
        <v>Rhys [Valerie] del Valle</v>
      </c>
      <c r="D280" t="b">
        <v>1</v>
      </c>
      <c r="F280" t="s">
        <v>278</v>
      </c>
      <c r="H280" t="s">
        <v>453</v>
      </c>
      <c r="J280" t="s">
        <v>1333</v>
      </c>
      <c r="K280" t="str">
        <f>IF(Index_of_People[[#This Row],[SpouseID]]="","",IFERROR(INDEX(Index_of_People[Metadata Name],MATCH(Index_of_People[[#This Row],[SpouseID]],Index_of_People[NameID],0)),""))</f>
        <v>Clifton Cann</v>
      </c>
      <c r="L280" s="6">
        <v>62</v>
      </c>
      <c r="M280" s="2" t="s">
        <v>490</v>
      </c>
      <c r="N280" s="2">
        <v>39942</v>
      </c>
      <c r="O280" s="2" t="s">
        <v>490</v>
      </c>
      <c r="P280" t="b">
        <v>1</v>
      </c>
    </row>
    <row r="281" spans="1:16" x14ac:dyDescent="0.25">
      <c r="A281" s="6">
        <v>276</v>
      </c>
      <c r="B281" s="6" t="b">
        <v>0</v>
      </c>
      <c r="C281" t="str">
        <f>_xlfn.LET(
_xlpm.FamilyName,IF(F281="","",F281)&amp;IF(G281="",""," "&amp;G281)&amp;IF(H281="",""," "&amp;H281),
_xlpm.MarriedName,IF(F281="","",F281)&amp;IF(G281="",""," "&amp;G281)&amp;IF(I281="",""," "&amp;I281)&amp;IF(H281="",""," "&amp;"("&amp;H281)&amp;")",
TRIM(IF(Index_of_People[[#This Row],[Prefer NickName]]=TRUE,Index_of_People[[#This Row],[Nick Names]],
IF(I281&lt;&gt;"",_xlpm.MarriedName,_xlpm.FamilyName))))</f>
        <v>Rhys del Valle</v>
      </c>
      <c r="D281" t="b">
        <v>0</v>
      </c>
      <c r="F281" t="s">
        <v>278</v>
      </c>
      <c r="G281" t="s">
        <v>490</v>
      </c>
      <c r="H281" t="s">
        <v>453</v>
      </c>
      <c r="I281" t="s">
        <v>490</v>
      </c>
      <c r="J281" t="s">
        <v>460</v>
      </c>
      <c r="K281" t="str">
        <f>IF(Index_of_People[[#This Row],[SpouseID]]="","",IFERROR(INDEX(Index_of_People[Metadata Name],MATCH(Index_of_People[[#This Row],[SpouseID]],Index_of_People[NameID],0)),""))</f>
        <v/>
      </c>
      <c r="L281" s="6"/>
      <c r="M281" s="2" t="s">
        <v>490</v>
      </c>
      <c r="N281" s="2" t="s">
        <v>490</v>
      </c>
      <c r="O281" s="2" t="s">
        <v>490</v>
      </c>
      <c r="P281" t="b">
        <v>0</v>
      </c>
    </row>
    <row r="282" spans="1:16" x14ac:dyDescent="0.25">
      <c r="A282" s="6">
        <v>277</v>
      </c>
      <c r="B282" s="6" t="b">
        <v>0</v>
      </c>
      <c r="C282" t="str">
        <f>_xlfn.LET(
_xlpm.FamilyName,IF(F282="","",F282)&amp;IF(G282="",""," "&amp;G282)&amp;IF(H282="",""," "&amp;H282),
_xlpm.MarriedName,IF(F282="","",F282)&amp;IF(G282="",""," "&amp;G282)&amp;IF(I282="",""," "&amp;I282)&amp;IF(H282="",""," "&amp;"("&amp;H282)&amp;")",
TRIM(IF(Index_of_People[[#This Row],[Prefer NickName]]=TRUE,Index_of_People[[#This Row],[Nick Names]],
IF(I282&lt;&gt;"",_xlpm.MarriedName,_xlpm.FamilyName))))</f>
        <v>Ribca Van Wijngaarden</v>
      </c>
      <c r="D282" t="b">
        <v>1</v>
      </c>
      <c r="F282" t="s">
        <v>279</v>
      </c>
      <c r="H282" t="s">
        <v>454</v>
      </c>
      <c r="J282"/>
      <c r="K282" t="str">
        <f>IF(Index_of_People[[#This Row],[SpouseID]]="","",IFERROR(INDEX(Index_of_People[Metadata Name],MATCH(Index_of_People[[#This Row],[SpouseID]],Index_of_People[NameID],0)),""))</f>
        <v/>
      </c>
      <c r="L282" s="6"/>
      <c r="M282" s="2" t="s">
        <v>490</v>
      </c>
      <c r="N282" s="2" t="s">
        <v>490</v>
      </c>
      <c r="O282" s="2" t="s">
        <v>490</v>
      </c>
      <c r="P282" t="b">
        <v>0</v>
      </c>
    </row>
    <row r="283" spans="1:16" x14ac:dyDescent="0.25">
      <c r="A283" s="6">
        <v>278</v>
      </c>
      <c r="B283" s="6" t="b">
        <v>0</v>
      </c>
      <c r="C283" t="str">
        <f>_xlfn.LET(
_xlpm.FamilyName,IF(F283="","",F283)&amp;IF(G283="",""," "&amp;G283)&amp;IF(H283="",""," "&amp;H283),
_xlpm.MarriedName,IF(F283="","",F283)&amp;IF(G283="",""," "&amp;G283)&amp;IF(I283="",""," "&amp;I283)&amp;IF(H283="",""," "&amp;"("&amp;H283)&amp;")",
TRIM(IF(Index_of_People[[#This Row],[Prefer NickName]]=TRUE,Index_of_People[[#This Row],[Nick Names]],
IF(I283&lt;&gt;"",_xlpm.MarriedName,_xlpm.FamilyName))))</f>
        <v>Richard Glover</v>
      </c>
      <c r="D283" t="b">
        <v>1</v>
      </c>
      <c r="F283" t="s">
        <v>198</v>
      </c>
      <c r="H283" t="s">
        <v>315</v>
      </c>
      <c r="J283"/>
      <c r="K283" t="str">
        <f>IF(Index_of_People[[#This Row],[SpouseID]]="","",IFERROR(INDEX(Index_of_People[Metadata Name],MATCH(Index_of_People[[#This Row],[SpouseID]],Index_of_People[NameID],0)),""))</f>
        <v/>
      </c>
      <c r="L283" s="6"/>
      <c r="M283" s="2" t="s">
        <v>490</v>
      </c>
      <c r="N283" s="2" t="s">
        <v>490</v>
      </c>
      <c r="O283" s="2" t="s">
        <v>490</v>
      </c>
      <c r="P283" t="b">
        <v>1</v>
      </c>
    </row>
    <row r="284" spans="1:16" x14ac:dyDescent="0.25">
      <c r="A284" s="6">
        <v>279</v>
      </c>
      <c r="B284" s="6" t="b">
        <v>0</v>
      </c>
      <c r="C284" t="str">
        <f>_xlfn.LET(
_xlpm.FamilyName,IF(F284="","",F284)&amp;IF(G284="",""," "&amp;G284)&amp;IF(H284="",""," "&amp;H284),
_xlpm.MarriedName,IF(F284="","",F284)&amp;IF(G284="",""," "&amp;G284)&amp;IF(I284="",""," "&amp;I284)&amp;IF(H284="",""," "&amp;"("&amp;H284)&amp;")",
TRIM(IF(Index_of_People[[#This Row],[Prefer NickName]]=TRUE,Index_of_People[[#This Row],[Nick Names]],
IF(I284&lt;&gt;"",_xlpm.MarriedName,_xlpm.FamilyName))))</f>
        <v>Richard Mitchell</v>
      </c>
      <c r="D284" t="b">
        <v>1</v>
      </c>
      <c r="F284" t="s">
        <v>198</v>
      </c>
      <c r="H284" t="s">
        <v>271</v>
      </c>
      <c r="J284"/>
      <c r="K284" t="str">
        <f>IF(Index_of_People[[#This Row],[SpouseID]]="","",IFERROR(INDEX(Index_of_People[Metadata Name],MATCH(Index_of_People[[#This Row],[SpouseID]],Index_of_People[NameID],0)),""))</f>
        <v/>
      </c>
      <c r="L284" s="6"/>
      <c r="M284" s="2" t="s">
        <v>490</v>
      </c>
      <c r="N284" s="2" t="s">
        <v>490</v>
      </c>
      <c r="O284" s="2" t="s">
        <v>490</v>
      </c>
      <c r="P284" t="b">
        <v>0</v>
      </c>
    </row>
    <row r="285" spans="1:16" x14ac:dyDescent="0.25">
      <c r="A285" s="6">
        <v>280</v>
      </c>
      <c r="B285" s="6" t="b">
        <v>0</v>
      </c>
      <c r="C285" t="str">
        <f>_xlfn.LET(
_xlpm.FamilyName,IF(F285="","",F285)&amp;IF(G285="",""," "&amp;G285)&amp;IF(H285="",""," "&amp;H285),
_xlpm.MarriedName,IF(F285="","",F285)&amp;IF(G285="",""," "&amp;G285)&amp;IF(I285="",""," "&amp;I285)&amp;IF(H285="",""," "&amp;"("&amp;H285)&amp;")",
TRIM(IF(Index_of_People[[#This Row],[Prefer NickName]]=TRUE,Index_of_People[[#This Row],[Nick Names]],
IF(I285&lt;&gt;"",_xlpm.MarriedName,_xlpm.FamilyName))))</f>
        <v>Rick Barker</v>
      </c>
      <c r="D285" t="b">
        <v>1</v>
      </c>
      <c r="F285" t="s">
        <v>1332</v>
      </c>
      <c r="H285" t="s">
        <v>312</v>
      </c>
      <c r="J285"/>
      <c r="K285" t="str">
        <f>IF(Index_of_People[[#This Row],[SpouseID]]="","",IFERROR(INDEX(Index_of_People[Metadata Name],MATCH(Index_of_People[[#This Row],[SpouseID]],Index_of_People[NameID],0)),""))</f>
        <v>Connie Barker (Skinner)</v>
      </c>
      <c r="L285" s="6">
        <v>65</v>
      </c>
      <c r="N285" s="2">
        <v>31652</v>
      </c>
      <c r="P285" t="b">
        <v>1</v>
      </c>
    </row>
    <row r="286" spans="1:16" x14ac:dyDescent="0.25">
      <c r="A286" s="6">
        <v>281</v>
      </c>
      <c r="B286" s="6" t="b">
        <v>0</v>
      </c>
      <c r="C286" t="str">
        <f>_xlfn.LET(
_xlpm.FamilyName,IF(F286="","",F286)&amp;IF(G286="",""," "&amp;G286)&amp;IF(H286="",""," "&amp;H286),
_xlpm.MarriedName,IF(F286="","",F286)&amp;IF(G286="",""," "&amp;G286)&amp;IF(I286="",""," "&amp;I286)&amp;IF(H286="",""," "&amp;"("&amp;H286)&amp;")",
TRIM(IF(Index_of_People[[#This Row],[Prefer NickName]]=TRUE,Index_of_People[[#This Row],[Nick Names]],
IF(I286&lt;&gt;"",_xlpm.MarriedName,_xlpm.FamilyName))))</f>
        <v>Rita</v>
      </c>
      <c r="D286" t="b">
        <v>1</v>
      </c>
      <c r="F286" t="s">
        <v>62</v>
      </c>
      <c r="J286"/>
      <c r="K286" t="str">
        <f>IF(Index_of_People[[#This Row],[SpouseID]]="","",IFERROR(INDEX(Index_of_People[Metadata Name],MATCH(Index_of_People[[#This Row],[SpouseID]],Index_of_People[NameID],0)),""))</f>
        <v/>
      </c>
      <c r="L286" s="6"/>
      <c r="M286" s="2" t="s">
        <v>490</v>
      </c>
      <c r="N286" s="2" t="s">
        <v>490</v>
      </c>
      <c r="O286" s="2" t="s">
        <v>490</v>
      </c>
      <c r="P286" t="b">
        <v>0</v>
      </c>
    </row>
    <row r="287" spans="1:16" x14ac:dyDescent="0.25">
      <c r="A287" s="6">
        <v>282</v>
      </c>
      <c r="B287" s="6" t="b">
        <v>0</v>
      </c>
      <c r="C287" t="str">
        <f>_xlfn.LET(
_xlpm.FamilyName,IF(F287="","",F287)&amp;IF(G287="",""," "&amp;G287)&amp;IF(H287="",""," "&amp;H287),
_xlpm.MarriedName,IF(F287="","",F287)&amp;IF(G287="",""," "&amp;G287)&amp;IF(I287="",""," "&amp;I287)&amp;IF(H287="",""," "&amp;"("&amp;H287)&amp;")",
TRIM(IF(Index_of_People[[#This Row],[Prefer NickName]]=TRUE,Index_of_People[[#This Row],[Nick Names]],
IF(I287&lt;&gt;"",_xlpm.MarriedName,_xlpm.FamilyName))))</f>
        <v>Rita Chan</v>
      </c>
      <c r="D287" t="b">
        <v>1</v>
      </c>
      <c r="F287" t="s">
        <v>62</v>
      </c>
      <c r="G287" t="s">
        <v>490</v>
      </c>
      <c r="H287" t="s">
        <v>419</v>
      </c>
      <c r="I287" t="s">
        <v>490</v>
      </c>
      <c r="J287" t="s">
        <v>490</v>
      </c>
      <c r="K287" t="str">
        <f>IF(Index_of_People[[#This Row],[SpouseID]]="","",IFERROR(INDEX(Index_of_People[Metadata Name],MATCH(Index_of_People[[#This Row],[SpouseID]],Index_of_People[NameID],0)),""))</f>
        <v/>
      </c>
      <c r="L287" s="6"/>
      <c r="M287" s="2" t="s">
        <v>490</v>
      </c>
      <c r="N287" s="2" t="s">
        <v>490</v>
      </c>
      <c r="O287" s="2" t="s">
        <v>490</v>
      </c>
      <c r="P287" t="b">
        <v>0</v>
      </c>
    </row>
    <row r="288" spans="1:16" x14ac:dyDescent="0.25">
      <c r="A288" s="6">
        <v>283</v>
      </c>
      <c r="B288" s="6" t="b">
        <v>0</v>
      </c>
      <c r="C288" t="str">
        <f>_xlfn.LET(
_xlpm.FamilyName,IF(F288="","",F288)&amp;IF(G288="",""," "&amp;G288)&amp;IF(H288="",""," "&amp;H288),
_xlpm.MarriedName,IF(F288="","",F288)&amp;IF(G288="",""," "&amp;G288)&amp;IF(I288="",""," "&amp;I288)&amp;IF(H288="",""," "&amp;"("&amp;H288)&amp;")",
TRIM(IF(Index_of_People[[#This Row],[Prefer NickName]]=TRUE,Index_of_People[[#This Row],[Nick Names]],
IF(I288&lt;&gt;"",_xlpm.MarriedName,_xlpm.FamilyName))))</f>
        <v>Rob</v>
      </c>
      <c r="D288" t="b">
        <v>1</v>
      </c>
      <c r="F288" t="s">
        <v>63</v>
      </c>
      <c r="J288"/>
      <c r="K288" t="str">
        <f>IF(Index_of_People[[#This Row],[SpouseID]]="","",IFERROR(INDEX(Index_of_People[Metadata Name],MATCH(Index_of_People[[#This Row],[SpouseID]],Index_of_People[NameID],0)),""))</f>
        <v/>
      </c>
      <c r="L288" s="6"/>
      <c r="M288" s="2" t="s">
        <v>490</v>
      </c>
      <c r="N288" s="2" t="s">
        <v>490</v>
      </c>
      <c r="O288" s="2" t="s">
        <v>490</v>
      </c>
      <c r="P288" t="b">
        <v>0</v>
      </c>
    </row>
    <row r="289" spans="1:16" x14ac:dyDescent="0.25">
      <c r="A289" s="6">
        <v>284</v>
      </c>
      <c r="B289" s="6" t="b">
        <v>0</v>
      </c>
      <c r="C289" t="str">
        <f>_xlfn.LET(
_xlpm.FamilyName,IF(F289="","",F289)&amp;IF(G289="",""," "&amp;G289)&amp;IF(H289="",""," "&amp;H289),
_xlpm.MarriedName,IF(F289="","",F289)&amp;IF(G289="",""," "&amp;G289)&amp;IF(I289="",""," "&amp;I289)&amp;IF(H289="",""," "&amp;"("&amp;H289)&amp;")",
TRIM(IF(Index_of_People[[#This Row],[Prefer NickName]]=TRUE,Index_of_People[[#This Row],[Nick Names]],
IF(I289&lt;&gt;"",_xlpm.MarriedName,_xlpm.FamilyName))))</f>
        <v>Rob Burns</v>
      </c>
      <c r="D289" t="b">
        <v>1</v>
      </c>
      <c r="F289" t="s">
        <v>63</v>
      </c>
      <c r="G289" t="s">
        <v>490</v>
      </c>
      <c r="H289" t="s">
        <v>420</v>
      </c>
      <c r="I289" t="s">
        <v>490</v>
      </c>
      <c r="J289" t="s">
        <v>490</v>
      </c>
      <c r="K289" t="str">
        <f>IF(Index_of_People[[#This Row],[SpouseID]]="","",IFERROR(INDEX(Index_of_People[Metadata Name],MATCH(Index_of_People[[#This Row],[SpouseID]],Index_of_People[NameID],0)),""))</f>
        <v/>
      </c>
      <c r="L289" s="6"/>
      <c r="M289" s="2" t="s">
        <v>490</v>
      </c>
      <c r="N289" s="2" t="s">
        <v>490</v>
      </c>
      <c r="O289" s="2" t="s">
        <v>490</v>
      </c>
      <c r="P289" t="b">
        <v>0</v>
      </c>
    </row>
    <row r="290" spans="1:16" x14ac:dyDescent="0.25">
      <c r="A290" s="6">
        <v>285</v>
      </c>
      <c r="B290" s="6" t="b">
        <v>0</v>
      </c>
      <c r="C290" t="str">
        <f>_xlfn.LET(
_xlpm.FamilyName,IF(F290="","",F290)&amp;IF(G290="",""," "&amp;G290)&amp;IF(H290="",""," "&amp;H290),
_xlpm.MarriedName,IF(F290="","",F290)&amp;IF(G290="",""," "&amp;G290)&amp;IF(I290="",""," "&amp;I290)&amp;IF(H290="",""," "&amp;"("&amp;H290)&amp;")",
TRIM(IF(Index_of_People[[#This Row],[Prefer NickName]]=TRUE,Index_of_People[[#This Row],[Nick Names]],
IF(I290&lt;&gt;"",_xlpm.MarriedName,_xlpm.FamilyName))))</f>
        <v>Robert</v>
      </c>
      <c r="D290" t="b">
        <v>1</v>
      </c>
      <c r="F290" t="s">
        <v>32</v>
      </c>
      <c r="J290"/>
      <c r="K290" t="str">
        <f>IF(Index_of_People[[#This Row],[SpouseID]]="","",IFERROR(INDEX(Index_of_People[Metadata Name],MATCH(Index_of_People[[#This Row],[SpouseID]],Index_of_People[NameID],0)),""))</f>
        <v/>
      </c>
      <c r="L290" s="6"/>
      <c r="M290" s="2" t="s">
        <v>490</v>
      </c>
      <c r="N290" s="2" t="s">
        <v>490</v>
      </c>
      <c r="O290" s="2" t="s">
        <v>490</v>
      </c>
      <c r="P290" t="b">
        <v>0</v>
      </c>
    </row>
    <row r="291" spans="1:16" x14ac:dyDescent="0.25">
      <c r="A291" s="6">
        <v>286</v>
      </c>
      <c r="B291" s="6" t="b">
        <v>0</v>
      </c>
      <c r="C291" t="str">
        <f>_xlfn.LET(
_xlpm.FamilyName,IF(F291="","",F291)&amp;IF(G291="",""," "&amp;G291)&amp;IF(H291="",""," "&amp;H291),
_xlpm.MarriedName,IF(F291="","",F291)&amp;IF(G291="",""," "&amp;G291)&amp;IF(I291="",""," "&amp;I291)&amp;IF(H291="",""," "&amp;"("&amp;H291)&amp;")",
TRIM(IF(Index_of_People[[#This Row],[Prefer NickName]]=TRUE,Index_of_People[[#This Row],[Nick Names]],
IF(I291&lt;&gt;"",_xlpm.MarriedName,_xlpm.FamilyName))))</f>
        <v>Robert Capezzuto</v>
      </c>
      <c r="D291" t="b">
        <v>1</v>
      </c>
      <c r="F291" t="s">
        <v>32</v>
      </c>
      <c r="H291" t="s">
        <v>321</v>
      </c>
      <c r="J291"/>
      <c r="K291" t="str">
        <f>IF(Index_of_People[[#This Row],[SpouseID]]="","",IFERROR(INDEX(Index_of_People[Metadata Name],MATCH(Index_of_People[[#This Row],[SpouseID]],Index_of_People[NameID],0)),""))</f>
        <v/>
      </c>
      <c r="L291" s="6"/>
      <c r="M291" s="2" t="s">
        <v>490</v>
      </c>
      <c r="N291" s="2" t="s">
        <v>490</v>
      </c>
      <c r="O291" s="2" t="s">
        <v>490</v>
      </c>
      <c r="P291" t="b">
        <v>1</v>
      </c>
    </row>
    <row r="292" spans="1:16" x14ac:dyDescent="0.25">
      <c r="A292" s="6">
        <v>287</v>
      </c>
      <c r="B292" s="6" t="b">
        <v>0</v>
      </c>
      <c r="C292" t="str">
        <f>_xlfn.LET(
_xlpm.FamilyName,IF(F292="","",F292)&amp;IF(G292="",""," "&amp;G292)&amp;IF(H292="",""," "&amp;H292),
_xlpm.MarriedName,IF(F292="","",F292)&amp;IF(G292="",""," "&amp;G292)&amp;IF(I292="",""," "&amp;I292)&amp;IF(H292="",""," "&amp;"("&amp;H292)&amp;")",
TRIM(IF(Index_of_People[[#This Row],[Prefer NickName]]=TRUE,Index_of_People[[#This Row],[Nick Names]],
IF(I292&lt;&gt;"",_xlpm.MarriedName,_xlpm.FamilyName))))</f>
        <v>Robin</v>
      </c>
      <c r="D292" t="b">
        <v>1</v>
      </c>
      <c r="F292" t="s">
        <v>64</v>
      </c>
      <c r="J292"/>
      <c r="K292" t="str">
        <f>IF(Index_of_People[[#This Row],[SpouseID]]="","",IFERROR(INDEX(Index_of_People[Metadata Name],MATCH(Index_of_People[[#This Row],[SpouseID]],Index_of_People[NameID],0)),""))</f>
        <v/>
      </c>
      <c r="L292" s="6"/>
      <c r="M292" s="2" t="s">
        <v>490</v>
      </c>
      <c r="N292" s="2" t="s">
        <v>490</v>
      </c>
      <c r="O292" s="2" t="s">
        <v>490</v>
      </c>
      <c r="P292" t="b">
        <v>0</v>
      </c>
    </row>
    <row r="293" spans="1:16" x14ac:dyDescent="0.25">
      <c r="A293" s="6">
        <v>288</v>
      </c>
      <c r="B293" s="6" t="b">
        <v>0</v>
      </c>
      <c r="C293" t="str">
        <f>_xlfn.LET(
_xlpm.FamilyName,IF(F293="","",F293)&amp;IF(G293="",""," "&amp;G293)&amp;IF(H293="",""," "&amp;H293),
_xlpm.MarriedName,IF(F293="","",F293)&amp;IF(G293="",""," "&amp;G293)&amp;IF(I293="",""," "&amp;I293)&amp;IF(H293="",""," "&amp;"("&amp;H293)&amp;")",
TRIM(IF(Index_of_People[[#This Row],[Prefer NickName]]=TRUE,Index_of_People[[#This Row],[Nick Names]],
IF(I293&lt;&gt;"",_xlpm.MarriedName,_xlpm.FamilyName))))</f>
        <v>Roger Wiles</v>
      </c>
      <c r="D293" t="b">
        <v>1</v>
      </c>
      <c r="F293" t="s">
        <v>199</v>
      </c>
      <c r="H293" t="s">
        <v>421</v>
      </c>
      <c r="J293"/>
      <c r="K293" t="str">
        <f>IF(Index_of_People[[#This Row],[SpouseID]]="","",IFERROR(INDEX(Index_of_People[Metadata Name],MATCH(Index_of_People[[#This Row],[SpouseID]],Index_of_People[NameID],0)),""))</f>
        <v/>
      </c>
      <c r="L293" s="6"/>
      <c r="M293" s="2" t="s">
        <v>490</v>
      </c>
      <c r="N293" s="2" t="s">
        <v>490</v>
      </c>
      <c r="O293" s="2" t="s">
        <v>490</v>
      </c>
      <c r="P293" t="b">
        <v>0</v>
      </c>
    </row>
    <row r="294" spans="1:16" x14ac:dyDescent="0.25">
      <c r="A294" s="6">
        <v>289</v>
      </c>
      <c r="B294" s="6" t="b">
        <v>0</v>
      </c>
      <c r="C294" t="str">
        <f>_xlfn.LET(
_xlpm.FamilyName,IF(F294="","",F294)&amp;IF(G294="",""," "&amp;G294)&amp;IF(H294="",""," "&amp;H294),
_xlpm.MarriedName,IF(F294="","",F294)&amp;IF(G294="",""," "&amp;G294)&amp;IF(I294="",""," "&amp;I294)&amp;IF(H294="",""," "&amp;"("&amp;H294)&amp;")",
TRIM(IF(Index_of_People[[#This Row],[Prefer NickName]]=TRUE,Index_of_People[[#This Row],[Nick Names]],
IF(I294&lt;&gt;"",_xlpm.MarriedName,_xlpm.FamilyName))))</f>
        <v>Roger Wyatt</v>
      </c>
      <c r="D294" t="b">
        <v>1</v>
      </c>
      <c r="F294" t="s">
        <v>199</v>
      </c>
      <c r="H294" t="s">
        <v>422</v>
      </c>
      <c r="J294"/>
      <c r="K294" t="str">
        <f>IF(Index_of_People[[#This Row],[SpouseID]]="","",IFERROR(INDEX(Index_of_People[Metadata Name],MATCH(Index_of_People[[#This Row],[SpouseID]],Index_of_People[NameID],0)),""))</f>
        <v/>
      </c>
      <c r="L294" s="6"/>
      <c r="M294" s="2" t="s">
        <v>490</v>
      </c>
      <c r="N294" s="2" t="s">
        <v>490</v>
      </c>
      <c r="O294" s="2" t="s">
        <v>490</v>
      </c>
      <c r="P294" t="b">
        <v>0</v>
      </c>
    </row>
    <row r="295" spans="1:16" x14ac:dyDescent="0.25">
      <c r="A295" s="6">
        <v>290</v>
      </c>
      <c r="B295" s="6" t="b">
        <v>0</v>
      </c>
      <c r="C295" t="str">
        <f>_xlfn.LET(
_xlpm.FamilyName,IF(F295="","",F295)&amp;IF(G295="",""," "&amp;G295)&amp;IF(H295="",""," "&amp;H295),
_xlpm.MarriedName,IF(F295="","",F295)&amp;IF(G295="",""," "&amp;G295)&amp;IF(I295="",""," "&amp;I295)&amp;IF(H295="",""," "&amp;"("&amp;H295)&amp;")",
TRIM(IF(Index_of_People[[#This Row],[Prefer NickName]]=TRUE,Index_of_People[[#This Row],[Nick Names]],
IF(I295&lt;&gt;"",_xlpm.MarriedName,_xlpm.FamilyName))))</f>
        <v>Ronnie del Valle</v>
      </c>
      <c r="D295" t="b">
        <v>1</v>
      </c>
      <c r="F295" t="s">
        <v>280</v>
      </c>
      <c r="H295" t="s">
        <v>453</v>
      </c>
      <c r="J295"/>
      <c r="K295" t="str">
        <f>IF(Index_of_People[[#This Row],[SpouseID]]="","",IFERROR(INDEX(Index_of_People[Metadata Name],MATCH(Index_of_People[[#This Row],[SpouseID]],Index_of_People[NameID],0)),""))</f>
        <v/>
      </c>
      <c r="L295" s="6"/>
      <c r="M295" s="2" t="s">
        <v>490</v>
      </c>
      <c r="N295" s="2" t="s">
        <v>490</v>
      </c>
      <c r="O295" s="2" t="s">
        <v>490</v>
      </c>
      <c r="P295" t="b">
        <v>1</v>
      </c>
    </row>
    <row r="296" spans="1:16" x14ac:dyDescent="0.25">
      <c r="A296" s="6">
        <v>291</v>
      </c>
      <c r="B296" s="6" t="b">
        <v>0</v>
      </c>
      <c r="C296" t="str">
        <f>_xlfn.LET(
_xlpm.FamilyName,IF(F296="","",F296)&amp;IF(G296="",""," "&amp;G296)&amp;IF(H296="",""," "&amp;H296),
_xlpm.MarriedName,IF(F296="","",F296)&amp;IF(G296="",""," "&amp;G296)&amp;IF(I296="",""," "&amp;I296)&amp;IF(H296="",""," "&amp;"("&amp;H296)&amp;")",
TRIM(IF(Index_of_People[[#This Row],[Prefer NickName]]=TRUE,Index_of_People[[#This Row],[Nick Names]],
IF(I296&lt;&gt;"",_xlpm.MarriedName,_xlpm.FamilyName))))</f>
        <v>Rosa Ann Carey (Dight)</v>
      </c>
      <c r="D296" t="b">
        <v>1</v>
      </c>
      <c r="F296" t="s">
        <v>281</v>
      </c>
      <c r="G296" t="s">
        <v>30</v>
      </c>
      <c r="H296" t="s">
        <v>343</v>
      </c>
      <c r="I296" t="s">
        <v>320</v>
      </c>
      <c r="J296"/>
      <c r="K296" t="str">
        <f>IF(Index_of_People[[#This Row],[SpouseID]]="","",IFERROR(INDEX(Index_of_People[Metadata Name],MATCH(Index_of_People[[#This Row],[SpouseID]],Index_of_People[NameID],0)),""))</f>
        <v>Cecil Ethelbert Purnell Carey</v>
      </c>
      <c r="L296" s="6">
        <v>53</v>
      </c>
      <c r="M296" s="2" t="s">
        <v>490</v>
      </c>
      <c r="N296" s="2" t="s">
        <v>490</v>
      </c>
      <c r="O296" s="2" t="s">
        <v>490</v>
      </c>
      <c r="P296" t="b">
        <v>1</v>
      </c>
    </row>
    <row r="297" spans="1:16" x14ac:dyDescent="0.25">
      <c r="A297" s="6">
        <v>292</v>
      </c>
      <c r="B297" s="6" t="b">
        <v>0</v>
      </c>
      <c r="C297" t="str">
        <f>_xlfn.LET(
_xlpm.FamilyName,IF(F297="","",F297)&amp;IF(G297="",""," "&amp;G297)&amp;IF(H297="",""," "&amp;H297),
_xlpm.MarriedName,IF(F297="","",F297)&amp;IF(G297="",""," "&amp;G297)&amp;IF(I297="",""," "&amp;I297)&amp;IF(H297="",""," "&amp;"("&amp;H297)&amp;")",
TRIM(IF(Index_of_People[[#This Row],[Prefer NickName]]=TRUE,Index_of_People[[#This Row],[Nick Names]],
IF(I297&lt;&gt;"",_xlpm.MarriedName,_xlpm.FamilyName))))</f>
        <v>Rosemary</v>
      </c>
      <c r="D297" t="b">
        <v>1</v>
      </c>
      <c r="F297" t="s">
        <v>65</v>
      </c>
      <c r="J297"/>
      <c r="K297" t="str">
        <f>IF(Index_of_People[[#This Row],[SpouseID]]="","",IFERROR(INDEX(Index_of_People[Metadata Name],MATCH(Index_of_People[[#This Row],[SpouseID]],Index_of_People[NameID],0)),""))</f>
        <v/>
      </c>
      <c r="L297" s="6"/>
      <c r="M297" s="2" t="s">
        <v>490</v>
      </c>
      <c r="N297" s="2" t="s">
        <v>490</v>
      </c>
      <c r="O297" s="2" t="s">
        <v>490</v>
      </c>
      <c r="P297" t="b">
        <v>0</v>
      </c>
    </row>
    <row r="298" spans="1:16" x14ac:dyDescent="0.25">
      <c r="A298" s="6">
        <v>293</v>
      </c>
      <c r="B298" s="6" t="b">
        <v>0</v>
      </c>
      <c r="C298" t="str">
        <f>_xlfn.LET(
_xlpm.FamilyName,IF(F298="","",F298)&amp;IF(G298="",""," "&amp;G298)&amp;IF(H298="",""," "&amp;H298),
_xlpm.MarriedName,IF(F298="","",F298)&amp;IF(G298="",""," "&amp;G298)&amp;IF(I298="",""," "&amp;I298)&amp;IF(H298="",""," "&amp;"("&amp;H298)&amp;")",
TRIM(IF(Index_of_People[[#This Row],[Prefer NickName]]=TRUE,Index_of_People[[#This Row],[Nick Names]],
IF(I298&lt;&gt;"",_xlpm.MarriedName,_xlpm.FamilyName))))</f>
        <v>Rosemary Neering</v>
      </c>
      <c r="D298" t="b">
        <v>1</v>
      </c>
      <c r="F298" t="s">
        <v>65</v>
      </c>
      <c r="H298" t="s">
        <v>423</v>
      </c>
      <c r="J298"/>
      <c r="K298" t="str">
        <f>IF(Index_of_People[[#This Row],[SpouseID]]="","",IFERROR(INDEX(Index_of_People[Metadata Name],MATCH(Index_of_People[[#This Row],[SpouseID]],Index_of_People[NameID],0)),""))</f>
        <v/>
      </c>
      <c r="L298" s="6"/>
      <c r="M298" s="2" t="s">
        <v>490</v>
      </c>
      <c r="N298" s="2" t="s">
        <v>490</v>
      </c>
      <c r="O298" s="2" t="s">
        <v>490</v>
      </c>
      <c r="P298" t="b">
        <v>0</v>
      </c>
    </row>
    <row r="299" spans="1:16" x14ac:dyDescent="0.25">
      <c r="A299" s="6">
        <v>294</v>
      </c>
      <c r="B299" s="6" t="b">
        <v>0</v>
      </c>
      <c r="C299" t="str">
        <f>_xlfn.LET(
_xlpm.FamilyName,IF(F299="","",F299)&amp;IF(G299="",""," "&amp;G299)&amp;IF(H299="",""," "&amp;H299),
_xlpm.MarriedName,IF(F299="","",F299)&amp;IF(G299="",""," "&amp;G299)&amp;IF(I299="",""," "&amp;I299)&amp;IF(H299="",""," "&amp;"("&amp;H299)&amp;")",
TRIM(IF(Index_of_People[[#This Row],[Prefer NickName]]=TRUE,Index_of_People[[#This Row],[Nick Names]],
IF(I299&lt;&gt;"",_xlpm.MarriedName,_xlpm.FamilyName))))</f>
        <v>Roy</v>
      </c>
      <c r="D299" t="b">
        <v>0</v>
      </c>
      <c r="F299" t="s">
        <v>13</v>
      </c>
      <c r="J299" t="s">
        <v>469</v>
      </c>
      <c r="K299" t="str">
        <f>IF(Index_of_People[[#This Row],[SpouseID]]="","",IFERROR(INDEX(Index_of_People[Metadata Name],MATCH(Index_of_People[[#This Row],[SpouseID]],Index_of_People[NameID],0)),""))</f>
        <v/>
      </c>
      <c r="L299" s="6"/>
      <c r="M299" s="2" t="s">
        <v>490</v>
      </c>
      <c r="N299" s="2" t="s">
        <v>490</v>
      </c>
      <c r="O299" s="2" t="s">
        <v>490</v>
      </c>
      <c r="P299" t="b">
        <v>0</v>
      </c>
    </row>
    <row r="300" spans="1:16" x14ac:dyDescent="0.25">
      <c r="A300" s="6">
        <v>295</v>
      </c>
      <c r="B300" s="6" t="b">
        <v>0</v>
      </c>
      <c r="C300" t="str">
        <f>_xlfn.LET(
_xlpm.FamilyName,IF(F300="","",F300)&amp;IF(G300="",""," "&amp;G300)&amp;IF(H300="",""," "&amp;H300),
_xlpm.MarriedName,IF(F300="","",F300)&amp;IF(G300="",""," "&amp;G300)&amp;IF(I300="",""," "&amp;I300)&amp;IF(H300="",""," "&amp;"("&amp;H300)&amp;")",
TRIM(IF(Index_of_People[[#This Row],[Prefer NickName]]=TRUE,Index_of_People[[#This Row],[Nick Names]],
IF(I300&lt;&gt;"",_xlpm.MarriedName,_xlpm.FamilyName))))</f>
        <v>Roy Andrews</v>
      </c>
      <c r="D300" t="b">
        <v>1</v>
      </c>
      <c r="F300" t="s">
        <v>13</v>
      </c>
      <c r="G300" t="s">
        <v>490</v>
      </c>
      <c r="H300" t="s">
        <v>306</v>
      </c>
      <c r="I300" t="s">
        <v>490</v>
      </c>
      <c r="J300" t="s">
        <v>490</v>
      </c>
      <c r="K300" t="str">
        <f>IF(Index_of_People[[#This Row],[SpouseID]]="","",IFERROR(INDEX(Index_of_People[Metadata Name],MATCH(Index_of_People[[#This Row],[SpouseID]],Index_of_People[NameID],0)),""))</f>
        <v/>
      </c>
      <c r="L300" s="6"/>
      <c r="M300" s="2" t="s">
        <v>490</v>
      </c>
      <c r="N300" s="2" t="s">
        <v>490</v>
      </c>
      <c r="O300" s="2" t="s">
        <v>490</v>
      </c>
      <c r="P300" t="b">
        <v>0</v>
      </c>
    </row>
    <row r="301" spans="1:16" x14ac:dyDescent="0.25">
      <c r="A301" s="6">
        <v>296</v>
      </c>
      <c r="B301" s="6" t="b">
        <v>0</v>
      </c>
      <c r="C301" t="str">
        <f>_xlfn.LET(
_xlpm.FamilyName,IF(F301="","",F301)&amp;IF(G301="",""," "&amp;G301)&amp;IF(H301="",""," "&amp;H301),
_xlpm.MarriedName,IF(F301="","",F301)&amp;IF(G301="",""," "&amp;G301)&amp;IF(I301="",""," "&amp;I301)&amp;IF(H301="",""," "&amp;"("&amp;H301)&amp;")",
TRIM(IF(Index_of_People[[#This Row],[Prefer NickName]]=TRUE,Index_of_People[[#This Row],[Nick Names]],
IF(I301&lt;&gt;"",_xlpm.MarriedName,_xlpm.FamilyName))))</f>
        <v>Russ</v>
      </c>
      <c r="D301" t="b">
        <v>1</v>
      </c>
      <c r="F301" t="s">
        <v>36</v>
      </c>
      <c r="J301"/>
      <c r="K301" t="str">
        <f>IF(Index_of_People[[#This Row],[SpouseID]]="","",IFERROR(INDEX(Index_of_People[Metadata Name],MATCH(Index_of_People[[#This Row],[SpouseID]],Index_of_People[NameID],0)),""))</f>
        <v/>
      </c>
      <c r="L301" s="6"/>
      <c r="M301" s="2" t="s">
        <v>490</v>
      </c>
      <c r="N301" s="2" t="s">
        <v>490</v>
      </c>
      <c r="O301" s="2" t="s">
        <v>490</v>
      </c>
      <c r="P301" t="b">
        <v>0</v>
      </c>
    </row>
    <row r="302" spans="1:16" x14ac:dyDescent="0.25">
      <c r="A302" s="6">
        <v>297</v>
      </c>
      <c r="B302" s="6" t="b">
        <v>0</v>
      </c>
      <c r="C302" t="str">
        <f>_xlfn.LET(
_xlpm.FamilyName,IF(F302="","",F302)&amp;IF(G302="",""," "&amp;G302)&amp;IF(H302="",""," "&amp;H302),
_xlpm.MarriedName,IF(F302="","",F302)&amp;IF(G302="",""," "&amp;G302)&amp;IF(I302="",""," "&amp;I302)&amp;IF(H302="",""," "&amp;"("&amp;H302)&amp;")",
TRIM(IF(Index_of_People[[#This Row],[Prefer NickName]]=TRUE,Index_of_People[[#This Row],[Nick Names]],
IF(I302&lt;&gt;"",_xlpm.MarriedName,_xlpm.FamilyName))))</f>
        <v>Ruth</v>
      </c>
      <c r="D302" t="b">
        <v>0</v>
      </c>
      <c r="F302" t="s">
        <v>282</v>
      </c>
      <c r="J302" t="s">
        <v>465</v>
      </c>
      <c r="K302" t="str">
        <f>IF(Index_of_People[[#This Row],[SpouseID]]="","",IFERROR(INDEX(Index_of_People[Metadata Name],MATCH(Index_of_People[[#This Row],[SpouseID]],Index_of_People[NameID],0)),""))</f>
        <v/>
      </c>
      <c r="L302" s="6"/>
      <c r="M302" s="2" t="s">
        <v>490</v>
      </c>
      <c r="N302" s="2" t="s">
        <v>490</v>
      </c>
      <c r="O302" s="2" t="s">
        <v>490</v>
      </c>
      <c r="P302" t="b">
        <v>0</v>
      </c>
    </row>
    <row r="303" spans="1:16" x14ac:dyDescent="0.25">
      <c r="A303" s="6">
        <v>298</v>
      </c>
      <c r="B303" s="6" t="b">
        <v>0</v>
      </c>
      <c r="C303" t="str">
        <f>_xlfn.LET(
_xlpm.FamilyName,IF(F303="","",F303)&amp;IF(G303="",""," "&amp;G303)&amp;IF(H303="",""," "&amp;H303),
_xlpm.MarriedName,IF(F303="","",F303)&amp;IF(G303="",""," "&amp;G303)&amp;IF(I303="",""," "&amp;I303)&amp;IF(H303="",""," "&amp;"("&amp;H303)&amp;")",
TRIM(IF(Index_of_People[[#This Row],[Prefer NickName]]=TRUE,Index_of_People[[#This Row],[Nick Names]],
IF(I303&lt;&gt;"",_xlpm.MarriedName,_xlpm.FamilyName))))</f>
        <v>Ryan B</v>
      </c>
      <c r="D303" t="b">
        <v>0</v>
      </c>
      <c r="F303" t="s">
        <v>200</v>
      </c>
      <c r="G303" t="s">
        <v>490</v>
      </c>
      <c r="H303" t="s">
        <v>425</v>
      </c>
      <c r="I303" t="s">
        <v>490</v>
      </c>
      <c r="J303" t="s">
        <v>490</v>
      </c>
      <c r="K303" t="str">
        <f>IF(Index_of_People[[#This Row],[SpouseID]]="","",IFERROR(INDEX(Index_of_People[Metadata Name],MATCH(Index_of_People[[#This Row],[SpouseID]],Index_of_People[NameID],0)),""))</f>
        <v/>
      </c>
      <c r="L303" s="6"/>
      <c r="M303" s="2" t="s">
        <v>490</v>
      </c>
      <c r="N303" s="2" t="s">
        <v>490</v>
      </c>
      <c r="O303" s="2" t="s">
        <v>490</v>
      </c>
      <c r="P303" t="b">
        <v>0</v>
      </c>
    </row>
    <row r="304" spans="1:16" x14ac:dyDescent="0.25">
      <c r="A304" s="6">
        <v>299</v>
      </c>
      <c r="B304" s="6" t="b">
        <v>0</v>
      </c>
      <c r="C304" t="str">
        <f>_xlfn.LET(
_xlpm.FamilyName,IF(F304="","",F304)&amp;IF(G304="",""," "&amp;G304)&amp;IF(H304="",""," "&amp;H304),
_xlpm.MarriedName,IF(F304="","",F304)&amp;IF(G304="",""," "&amp;G304)&amp;IF(I304="",""," "&amp;I304)&amp;IF(H304="",""," "&amp;"("&amp;H304)&amp;")",
TRIM(IF(Index_of_People[[#This Row],[Prefer NickName]]=TRUE,Index_of_People[[#This Row],[Nick Names]],
IF(I304&lt;&gt;"",_xlpm.MarriedName,_xlpm.FamilyName))))</f>
        <v>Ryan Reed</v>
      </c>
      <c r="D304" t="b">
        <v>1</v>
      </c>
      <c r="F304" t="s">
        <v>200</v>
      </c>
      <c r="H304" t="s">
        <v>426</v>
      </c>
      <c r="J304"/>
      <c r="K304" t="str">
        <f>IF(Index_of_People[[#This Row],[SpouseID]]="","",IFERROR(INDEX(Index_of_People[Metadata Name],MATCH(Index_of_People[[#This Row],[SpouseID]],Index_of_People[NameID],0)),""))</f>
        <v/>
      </c>
      <c r="L304" s="6"/>
      <c r="M304" s="2" t="s">
        <v>490</v>
      </c>
      <c r="N304" s="2" t="s">
        <v>490</v>
      </c>
      <c r="O304" s="2" t="s">
        <v>490</v>
      </c>
      <c r="P304" t="b">
        <v>0</v>
      </c>
    </row>
    <row r="305" spans="1:16" x14ac:dyDescent="0.25">
      <c r="A305" s="6">
        <v>300</v>
      </c>
      <c r="B305" s="6" t="b">
        <v>0</v>
      </c>
      <c r="C305" t="str">
        <f>_xlfn.LET(
_xlpm.FamilyName,IF(F305="","",F305)&amp;IF(G305="",""," "&amp;G305)&amp;IF(H305="",""," "&amp;H305),
_xlpm.MarriedName,IF(F305="","",F305)&amp;IF(G305="",""," "&amp;G305)&amp;IF(I305="",""," "&amp;I305)&amp;IF(H305="",""," "&amp;"("&amp;H305)&amp;")",
TRIM(IF(Index_of_People[[#This Row],[Prefer NickName]]=TRUE,Index_of_People[[#This Row],[Nick Names]],
IF(I305&lt;&gt;"",_xlpm.MarriedName,_xlpm.FamilyName))))</f>
        <v>Sam</v>
      </c>
      <c r="D305" t="b">
        <v>0</v>
      </c>
      <c r="F305" t="s">
        <v>66</v>
      </c>
      <c r="J305"/>
      <c r="K305" t="str">
        <f>IF(Index_of_People[[#This Row],[SpouseID]]="","",IFERROR(INDEX(Index_of_People[Metadata Name],MATCH(Index_of_People[[#This Row],[SpouseID]],Index_of_People[NameID],0)),""))</f>
        <v/>
      </c>
      <c r="L305" s="6"/>
      <c r="M305" s="2" t="s">
        <v>490</v>
      </c>
      <c r="N305" s="2" t="s">
        <v>490</v>
      </c>
      <c r="O305" s="2" t="s">
        <v>490</v>
      </c>
      <c r="P305" t="b">
        <v>0</v>
      </c>
    </row>
    <row r="306" spans="1:16" x14ac:dyDescent="0.25">
      <c r="A306" s="6">
        <v>301</v>
      </c>
      <c r="B306" s="6" t="b">
        <v>0</v>
      </c>
      <c r="C306" t="str">
        <f>_xlfn.LET(
_xlpm.FamilyName,IF(F306="","",F306)&amp;IF(G306="",""," "&amp;G306)&amp;IF(H306="",""," "&amp;H306),
_xlpm.MarriedName,IF(F306="","",F306)&amp;IF(G306="",""," "&amp;G306)&amp;IF(I306="",""," "&amp;I306)&amp;IF(H306="",""," "&amp;"("&amp;H306)&amp;")",
TRIM(IF(Index_of_People[[#This Row],[Prefer NickName]]=TRUE,Index_of_People[[#This Row],[Nick Names]],
IF(I306&lt;&gt;"",_xlpm.MarriedName,_xlpm.FamilyName))))</f>
        <v>Sam Pikikot</v>
      </c>
      <c r="D306" t="b">
        <v>1</v>
      </c>
      <c r="F306" t="s">
        <v>66</v>
      </c>
      <c r="H306" t="s">
        <v>427</v>
      </c>
      <c r="J306"/>
      <c r="K306" t="str">
        <f>IF(Index_of_People[[#This Row],[SpouseID]]="","",IFERROR(INDEX(Index_of_People[Metadata Name],MATCH(Index_of_People[[#This Row],[SpouseID]],Index_of_People[NameID],0)),""))</f>
        <v/>
      </c>
      <c r="L306" s="6"/>
      <c r="M306" s="2" t="s">
        <v>490</v>
      </c>
      <c r="N306" s="2" t="s">
        <v>490</v>
      </c>
      <c r="O306" s="2" t="s">
        <v>490</v>
      </c>
      <c r="P306" t="b">
        <v>0</v>
      </c>
    </row>
    <row r="307" spans="1:16" x14ac:dyDescent="0.25">
      <c r="A307" s="6">
        <v>302</v>
      </c>
      <c r="B307" s="6" t="b">
        <v>0</v>
      </c>
      <c r="C307" t="str">
        <f>_xlfn.LET(
_xlpm.FamilyName,IF(F307="","",F307)&amp;IF(G307="",""," "&amp;G307)&amp;IF(H307="",""," "&amp;H307),
_xlpm.MarriedName,IF(F307="","",F307)&amp;IF(G307="",""," "&amp;G307)&amp;IF(I307="",""," "&amp;I307)&amp;IF(H307="",""," "&amp;"("&amp;H307)&amp;")",
TRIM(IF(Index_of_People[[#This Row],[Prefer NickName]]=TRUE,Index_of_People[[#This Row],[Nick Names]],
IF(I307&lt;&gt;"",_xlpm.MarriedName,_xlpm.FamilyName))))</f>
        <v>Samantha Claire Blackstone</v>
      </c>
      <c r="D307" t="b">
        <v>1</v>
      </c>
      <c r="F307" t="s">
        <v>283</v>
      </c>
      <c r="G307" t="s">
        <v>34</v>
      </c>
      <c r="H307" t="s">
        <v>412</v>
      </c>
      <c r="J307"/>
      <c r="K307" t="str">
        <f>IF(Index_of_People[[#This Row],[SpouseID]]="","",IFERROR(INDEX(Index_of_People[Metadata Name],MATCH(Index_of_People[[#This Row],[SpouseID]],Index_of_People[NameID],0)),""))</f>
        <v>James Peter Penner</v>
      </c>
      <c r="L307" s="6">
        <v>146</v>
      </c>
      <c r="M307" s="2">
        <v>29487</v>
      </c>
      <c r="N307" s="2">
        <v>40355</v>
      </c>
      <c r="P307" t="b">
        <v>1</v>
      </c>
    </row>
    <row r="308" spans="1:16" x14ac:dyDescent="0.25">
      <c r="A308" s="6">
        <v>303</v>
      </c>
      <c r="B308" s="6" t="b">
        <v>0</v>
      </c>
      <c r="C308" t="str">
        <f>_xlfn.LET(
_xlpm.FamilyName,IF(F308="","",F308)&amp;IF(G308="",""," "&amp;G308)&amp;IF(H308="",""," "&amp;H308),
_xlpm.MarriedName,IF(F308="","",F308)&amp;IF(G308="",""," "&amp;G308)&amp;IF(I308="",""," "&amp;I308)&amp;IF(H308="",""," "&amp;"("&amp;H308)&amp;")",
TRIM(IF(Index_of_People[[#This Row],[Prefer NickName]]=TRUE,Index_of_People[[#This Row],[Nick Names]],
IF(I308&lt;&gt;"",_xlpm.MarriedName,_xlpm.FamilyName))))</f>
        <v>Sammi Barker</v>
      </c>
      <c r="D308" t="b">
        <v>1</v>
      </c>
      <c r="F308" t="s">
        <v>201</v>
      </c>
      <c r="H308" t="s">
        <v>312</v>
      </c>
      <c r="J308"/>
      <c r="K308" t="str">
        <f>IF(Index_of_People[[#This Row],[SpouseID]]="","",IFERROR(INDEX(Index_of_People[Metadata Name],MATCH(Index_of_People[[#This Row],[SpouseID]],Index_of_People[NameID],0)),""))</f>
        <v/>
      </c>
      <c r="L308" s="6"/>
      <c r="P308" t="b">
        <v>1</v>
      </c>
    </row>
    <row r="309" spans="1:16" x14ac:dyDescent="0.25">
      <c r="A309" s="6">
        <v>304</v>
      </c>
      <c r="B309" s="6" t="b">
        <v>0</v>
      </c>
      <c r="C309" t="str">
        <f>_xlfn.LET(
_xlpm.FamilyName,IF(F309="","",F309)&amp;IF(G309="",""," "&amp;G309)&amp;IF(H309="",""," "&amp;H309),
_xlpm.MarriedName,IF(F309="","",F309)&amp;IF(G309="",""," "&amp;G309)&amp;IF(I309="",""," "&amp;I309)&amp;IF(H309="",""," "&amp;"("&amp;H309)&amp;")",
TRIM(IF(Index_of_People[[#This Row],[Prefer NickName]]=TRUE,Index_of_People[[#This Row],[Nick Names]],
IF(I309&lt;&gt;"",_xlpm.MarriedName,_xlpm.FamilyName))))</f>
        <v>Sanda Glover</v>
      </c>
      <c r="D309" t="b">
        <v>1</v>
      </c>
      <c r="F309" t="s">
        <v>202</v>
      </c>
      <c r="H309" t="s">
        <v>315</v>
      </c>
      <c r="J309"/>
      <c r="K309" t="str">
        <f>IF(Index_of_People[[#This Row],[SpouseID]]="","",IFERROR(INDEX(Index_of_People[Metadata Name],MATCH(Index_of_People[[#This Row],[SpouseID]],Index_of_People[NameID],0)),""))</f>
        <v/>
      </c>
      <c r="L309" s="6"/>
      <c r="M309" s="2" t="s">
        <v>490</v>
      </c>
      <c r="N309" s="2" t="s">
        <v>490</v>
      </c>
      <c r="O309" s="2" t="s">
        <v>490</v>
      </c>
      <c r="P309" t="b">
        <v>1</v>
      </c>
    </row>
    <row r="310" spans="1:16" x14ac:dyDescent="0.25">
      <c r="A310" s="6">
        <v>305</v>
      </c>
      <c r="B310" s="6" t="b">
        <v>0</v>
      </c>
      <c r="C310" t="str">
        <f>_xlfn.LET(
_xlpm.FamilyName,IF(F310="","",F310)&amp;IF(G310="",""," "&amp;G310)&amp;IF(H310="",""," "&amp;H310),
_xlpm.MarriedName,IF(F310="","",F310)&amp;IF(G310="",""," "&amp;G310)&amp;IF(I310="",""," "&amp;I310)&amp;IF(H310="",""," "&amp;"("&amp;H310)&amp;")",
TRIM(IF(Index_of_People[[#This Row],[Prefer NickName]]=TRUE,Index_of_People[[#This Row],[Nick Names]],
IF(I310&lt;&gt;"",_xlpm.MarriedName,_xlpm.FamilyName))))</f>
        <v>Sandra Capezzuto (Hunter)</v>
      </c>
      <c r="D310" t="b">
        <v>1</v>
      </c>
      <c r="F310" t="s">
        <v>284</v>
      </c>
      <c r="H310" t="s">
        <v>310</v>
      </c>
      <c r="I310" t="s">
        <v>321</v>
      </c>
      <c r="J310"/>
      <c r="K310" t="str">
        <f>IF(Index_of_People[[#This Row],[SpouseID]]="","",IFERROR(INDEX(Index_of_People[Metadata Name],MATCH(Index_of_People[[#This Row],[SpouseID]],Index_of_People[NameID],0)),""))</f>
        <v>Cliff Capezzuto</v>
      </c>
      <c r="L310" s="6">
        <v>61</v>
      </c>
      <c r="M310" s="2">
        <v>24647</v>
      </c>
      <c r="P310" t="b">
        <v>1</v>
      </c>
    </row>
    <row r="311" spans="1:16" x14ac:dyDescent="0.25">
      <c r="A311" s="6">
        <v>306</v>
      </c>
      <c r="B311" s="6" t="b">
        <v>0</v>
      </c>
      <c r="C311" t="str">
        <f>_xlfn.LET(
_xlpm.FamilyName,IF(F311="","",F311)&amp;IF(G311="",""," "&amp;G311)&amp;IF(H311="",""," "&amp;H311),
_xlpm.MarriedName,IF(F311="","",F311)&amp;IF(G311="",""," "&amp;G311)&amp;IF(I311="",""," "&amp;I311)&amp;IF(H311="",""," "&amp;"("&amp;H311)&amp;")",
TRIM(IF(Index_of_People[[#This Row],[Prefer NickName]]=TRUE,Index_of_People[[#This Row],[Nick Names]],
IF(I311&lt;&gt;"",_xlpm.MarriedName,_xlpm.FamilyName))))</f>
        <v>Sandra Lynn Hunter</v>
      </c>
      <c r="D311" t="b">
        <v>0</v>
      </c>
      <c r="F311" t="s">
        <v>284</v>
      </c>
      <c r="G311" t="s">
        <v>172</v>
      </c>
      <c r="H311" t="s">
        <v>310</v>
      </c>
      <c r="I311" t="s">
        <v>490</v>
      </c>
      <c r="J311" t="s">
        <v>490</v>
      </c>
      <c r="K311" t="str">
        <f>IF(Index_of_People[[#This Row],[SpouseID]]="","",IFERROR(INDEX(Index_of_People[Metadata Name],MATCH(Index_of_People[[#This Row],[SpouseID]],Index_of_People[NameID],0)),""))</f>
        <v/>
      </c>
      <c r="L311" s="6"/>
      <c r="M311" s="2" t="s">
        <v>490</v>
      </c>
      <c r="N311" s="2" t="s">
        <v>490</v>
      </c>
      <c r="O311" s="2" t="s">
        <v>490</v>
      </c>
      <c r="P311" t="b">
        <v>0</v>
      </c>
    </row>
    <row r="312" spans="1:16" x14ac:dyDescent="0.25">
      <c r="A312" s="6">
        <v>307</v>
      </c>
      <c r="B312" s="6" t="b">
        <v>0</v>
      </c>
      <c r="C312" t="str">
        <f>_xlfn.LET(
_xlpm.FamilyName,IF(F312="","",F312)&amp;IF(G312="",""," "&amp;G312)&amp;IF(H312="",""," "&amp;H312),
_xlpm.MarriedName,IF(F312="","",F312)&amp;IF(G312="",""," "&amp;G312)&amp;IF(I312="",""," "&amp;I312)&amp;IF(H312="",""," "&amp;"("&amp;H312)&amp;")",
TRIM(IF(Index_of_People[[#This Row],[Prefer NickName]]=TRUE,Index_of_People[[#This Row],[Nick Names]],
IF(I312&lt;&gt;"",_xlpm.MarriedName,_xlpm.FamilyName))))</f>
        <v>Sarah</v>
      </c>
      <c r="D312" t="b">
        <v>0</v>
      </c>
      <c r="F312" t="s">
        <v>67</v>
      </c>
      <c r="J312"/>
      <c r="K312" t="str">
        <f>IF(Index_of_People[[#This Row],[SpouseID]]="","",IFERROR(INDEX(Index_of_People[Metadata Name],MATCH(Index_of_People[[#This Row],[SpouseID]],Index_of_People[NameID],0)),""))</f>
        <v/>
      </c>
      <c r="L312" s="6"/>
      <c r="M312" s="2" t="s">
        <v>490</v>
      </c>
      <c r="N312" s="2" t="s">
        <v>490</v>
      </c>
      <c r="O312" s="2" t="s">
        <v>490</v>
      </c>
      <c r="P312" t="b">
        <v>0</v>
      </c>
    </row>
    <row r="313" spans="1:16" x14ac:dyDescent="0.25">
      <c r="A313" s="6">
        <v>308</v>
      </c>
      <c r="B313" s="6" t="b">
        <v>0</v>
      </c>
      <c r="C313" t="str">
        <f>_xlfn.LET(
_xlpm.FamilyName,IF(F313="","",F313)&amp;IF(G313="",""," "&amp;G313)&amp;IF(H313="",""," "&amp;H313),
_xlpm.MarriedName,IF(F313="","",F313)&amp;IF(G313="",""," "&amp;G313)&amp;IF(I313="",""," "&amp;I313)&amp;IF(H313="",""," "&amp;"("&amp;H313)&amp;")",
TRIM(IF(Index_of_People[[#This Row],[Prefer NickName]]=TRUE,Index_of_People[[#This Row],[Nick Names]],
IF(I313&lt;&gt;"",_xlpm.MarriedName,_xlpm.FamilyName))))</f>
        <v>Sarah Jane Wardle</v>
      </c>
      <c r="D313" t="b">
        <v>1</v>
      </c>
      <c r="F313" t="s">
        <v>67</v>
      </c>
      <c r="G313" t="s">
        <v>394</v>
      </c>
      <c r="H313" t="s">
        <v>305</v>
      </c>
      <c r="J313"/>
      <c r="K313" t="str">
        <f>IF(Index_of_People[[#This Row],[SpouseID]]="","",IFERROR(INDEX(Index_of_People[Metadata Name],MATCH(Index_of_People[[#This Row],[SpouseID]],Index_of_People[NameID],0)),""))</f>
        <v/>
      </c>
      <c r="L313" s="6"/>
      <c r="M313" s="2" t="s">
        <v>490</v>
      </c>
      <c r="N313" s="2" t="s">
        <v>490</v>
      </c>
      <c r="O313" s="2" t="s">
        <v>490</v>
      </c>
      <c r="P313" t="b">
        <v>1</v>
      </c>
    </row>
    <row r="314" spans="1:16" x14ac:dyDescent="0.25">
      <c r="A314" s="6">
        <v>309</v>
      </c>
      <c r="B314" s="6" t="b">
        <v>0</v>
      </c>
      <c r="C314" t="str">
        <f>_xlfn.LET(
_xlpm.FamilyName,IF(F314="","",F314)&amp;IF(G314="",""," "&amp;G314)&amp;IF(H314="",""," "&amp;H314),
_xlpm.MarriedName,IF(F314="","",F314)&amp;IF(G314="",""," "&amp;G314)&amp;IF(I314="",""," "&amp;I314)&amp;IF(H314="",""," "&amp;"("&amp;H314)&amp;")",
TRIM(IF(Index_of_People[[#This Row],[Prefer NickName]]=TRUE,Index_of_People[[#This Row],[Nick Names]],
IF(I314&lt;&gt;"",_xlpm.MarriedName,_xlpm.FamilyName))))</f>
        <v>Shalina Surrendra</v>
      </c>
      <c r="D314" t="b">
        <v>0</v>
      </c>
      <c r="F314" t="s">
        <v>203</v>
      </c>
      <c r="H314" t="s">
        <v>428</v>
      </c>
      <c r="J314"/>
      <c r="K314" t="str">
        <f>IF(Index_of_People[[#This Row],[SpouseID]]="","",IFERROR(INDEX(Index_of_People[Metadata Name],MATCH(Index_of_People[[#This Row],[SpouseID]],Index_of_People[NameID],0)),""))</f>
        <v/>
      </c>
      <c r="L314" s="6"/>
      <c r="M314" s="2" t="s">
        <v>490</v>
      </c>
      <c r="N314" s="2" t="s">
        <v>490</v>
      </c>
      <c r="O314" s="2" t="s">
        <v>490</v>
      </c>
      <c r="P314" t="b">
        <v>0</v>
      </c>
    </row>
    <row r="315" spans="1:16" x14ac:dyDescent="0.25">
      <c r="A315" s="6">
        <v>310</v>
      </c>
      <c r="B315" s="6" t="b">
        <v>0</v>
      </c>
      <c r="C315" t="str">
        <f>_xlfn.LET(
_xlpm.FamilyName,IF(F315="","",F315)&amp;IF(G315="",""," "&amp;G315)&amp;IF(H315="",""," "&amp;H315),
_xlpm.MarriedName,IF(F315="","",F315)&amp;IF(G315="",""," "&amp;G315)&amp;IF(I315="",""," "&amp;I315)&amp;IF(H315="",""," "&amp;"("&amp;H315)&amp;")",
TRIM(IF(Index_of_People[[#This Row],[Prefer NickName]]=TRUE,Index_of_People[[#This Row],[Nick Names]],
IF(I315&lt;&gt;"",_xlpm.MarriedName,_xlpm.FamilyName))))</f>
        <v>Shane Waters</v>
      </c>
      <c r="D315" t="b">
        <v>0</v>
      </c>
      <c r="F315" t="s">
        <v>204</v>
      </c>
      <c r="H315" t="s">
        <v>429</v>
      </c>
      <c r="J315"/>
      <c r="K315" t="str">
        <f>IF(Index_of_People[[#This Row],[SpouseID]]="","",IFERROR(INDEX(Index_of_People[Metadata Name],MATCH(Index_of_People[[#This Row],[SpouseID]],Index_of_People[NameID],0)),""))</f>
        <v/>
      </c>
      <c r="L315" s="6"/>
      <c r="M315" s="2" t="s">
        <v>490</v>
      </c>
      <c r="N315" s="2" t="s">
        <v>490</v>
      </c>
      <c r="O315" s="2" t="s">
        <v>490</v>
      </c>
      <c r="P315" t="b">
        <v>0</v>
      </c>
    </row>
    <row r="316" spans="1:16" x14ac:dyDescent="0.25">
      <c r="A316" s="6">
        <v>311</v>
      </c>
      <c r="B316" s="6" t="b">
        <v>0</v>
      </c>
      <c r="C316" t="str">
        <f>_xlfn.LET(
_xlpm.FamilyName,IF(F316="","",F316)&amp;IF(G316="",""," "&amp;G316)&amp;IF(H316="",""," "&amp;H316),
_xlpm.MarriedName,IF(F316="","",F316)&amp;IF(G316="",""," "&amp;G316)&amp;IF(I316="",""," "&amp;I316)&amp;IF(H316="",""," "&amp;"("&amp;H316)&amp;")",
TRIM(IF(Index_of_People[[#This Row],[Prefer NickName]]=TRUE,Index_of_People[[#This Row],[Nick Names]],
IF(I316&lt;&gt;"",_xlpm.MarriedName,_xlpm.FamilyName))))</f>
        <v>Sharon Wardle (Hatherell)</v>
      </c>
      <c r="D316" t="b">
        <v>1</v>
      </c>
      <c r="F316" t="s">
        <v>285</v>
      </c>
      <c r="H316" t="s">
        <v>483</v>
      </c>
      <c r="I316" t="s">
        <v>305</v>
      </c>
      <c r="J316"/>
      <c r="K316" t="str">
        <f>IF(Index_of_People[[#This Row],[SpouseID]]="","",IFERROR(INDEX(Index_of_People[Metadata Name],MATCH(Index_of_People[[#This Row],[SpouseID]],Index_of_People[NameID],0)),""))</f>
        <v>Doug Mark Wardle</v>
      </c>
      <c r="L316" s="6">
        <v>91</v>
      </c>
      <c r="M316" s="2">
        <v>22036</v>
      </c>
      <c r="N316" s="2">
        <v>33565</v>
      </c>
      <c r="P316" t="b">
        <v>1</v>
      </c>
    </row>
    <row r="317" spans="1:16" x14ac:dyDescent="0.25">
      <c r="A317" s="6">
        <v>312</v>
      </c>
      <c r="B317" s="6" t="b">
        <v>0</v>
      </c>
      <c r="C317" t="str">
        <f>_xlfn.LET(
_xlpm.FamilyName,IF(F317="","",F317)&amp;IF(G317="",""," "&amp;G317)&amp;IF(H317="",""," "&amp;H317),
_xlpm.MarriedName,IF(F317="","",F317)&amp;IF(G317="",""," "&amp;G317)&amp;IF(I317="",""," "&amp;I317)&amp;IF(H317="",""," "&amp;"("&amp;H317)&amp;")",
TRIM(IF(Index_of_People[[#This Row],[Prefer NickName]]=TRUE,Index_of_People[[#This Row],[Nick Names]],
IF(I317&lt;&gt;"",_xlpm.MarriedName,_xlpm.FamilyName))))</f>
        <v>Sheila Wilson</v>
      </c>
      <c r="D317" t="b">
        <v>0</v>
      </c>
      <c r="F317" t="s">
        <v>205</v>
      </c>
      <c r="H317" t="s">
        <v>430</v>
      </c>
      <c r="J317"/>
      <c r="K317" t="str">
        <f>IF(Index_of_People[[#This Row],[SpouseID]]="","",IFERROR(INDEX(Index_of_People[Metadata Name],MATCH(Index_of_People[[#This Row],[SpouseID]],Index_of_People[NameID],0)),""))</f>
        <v/>
      </c>
      <c r="L317" s="6"/>
      <c r="M317" s="2" t="s">
        <v>490</v>
      </c>
      <c r="N317" s="2" t="s">
        <v>490</v>
      </c>
      <c r="O317" s="2" t="s">
        <v>490</v>
      </c>
      <c r="P317" t="b">
        <v>0</v>
      </c>
    </row>
    <row r="318" spans="1:16" x14ac:dyDescent="0.25">
      <c r="A318" s="6">
        <v>313</v>
      </c>
      <c r="B318" s="6" t="b">
        <v>0</v>
      </c>
      <c r="C318" t="str">
        <f>_xlfn.LET(
_xlpm.FamilyName,IF(F318="","",F318)&amp;IF(G318="",""," "&amp;G318)&amp;IF(H318="",""," "&amp;H318),
_xlpm.MarriedName,IF(F318="","",F318)&amp;IF(G318="",""," "&amp;G318)&amp;IF(I318="",""," "&amp;I318)&amp;IF(H318="",""," "&amp;"("&amp;H318)&amp;")",
TRIM(IF(Index_of_People[[#This Row],[Prefer NickName]]=TRUE,Index_of_People[[#This Row],[Nick Names]],
IF(I318&lt;&gt;"",_xlpm.MarriedName,_xlpm.FamilyName))))</f>
        <v>Shelby McFarlane</v>
      </c>
      <c r="D318" t="b">
        <v>0</v>
      </c>
      <c r="F318" t="s">
        <v>206</v>
      </c>
      <c r="H318" t="s">
        <v>431</v>
      </c>
      <c r="J318"/>
      <c r="K318" t="str">
        <f>IF(Index_of_People[[#This Row],[SpouseID]]="","",IFERROR(INDEX(Index_of_People[Metadata Name],MATCH(Index_of_People[[#This Row],[SpouseID]],Index_of_People[NameID],0)),""))</f>
        <v/>
      </c>
      <c r="L318" s="6"/>
      <c r="M318" s="2" t="s">
        <v>490</v>
      </c>
      <c r="N318" s="2" t="s">
        <v>490</v>
      </c>
      <c r="O318" s="2" t="s">
        <v>490</v>
      </c>
      <c r="P318" t="b">
        <v>0</v>
      </c>
    </row>
    <row r="319" spans="1:16" x14ac:dyDescent="0.25">
      <c r="A319" s="6">
        <v>314</v>
      </c>
      <c r="B319" s="6" t="b">
        <v>0</v>
      </c>
      <c r="C319" t="str">
        <f>_xlfn.LET(
_xlpm.FamilyName,IF(F319="","",F319)&amp;IF(G319="",""," "&amp;G319)&amp;IF(H319="",""," "&amp;H319),
_xlpm.MarriedName,IF(F319="","",F319)&amp;IF(G319="",""," "&amp;G319)&amp;IF(I319="",""," "&amp;I319)&amp;IF(H319="",""," "&amp;"("&amp;H319)&amp;")",
TRIM(IF(Index_of_People[[#This Row],[Prefer NickName]]=TRUE,Index_of_People[[#This Row],[Nick Names]],
IF(I319&lt;&gt;"",_xlpm.MarriedName,_xlpm.FamilyName))))</f>
        <v>Shemiya Rudd</v>
      </c>
      <c r="D319" t="b">
        <v>1</v>
      </c>
      <c r="F319" t="s">
        <v>207</v>
      </c>
      <c r="H319" t="s">
        <v>432</v>
      </c>
      <c r="J319"/>
      <c r="K319" t="str">
        <f>IF(Index_of_People[[#This Row],[SpouseID]]="","",IFERROR(INDEX(Index_of_People[Metadata Name],MATCH(Index_of_People[[#This Row],[SpouseID]],Index_of_People[NameID],0)),""))</f>
        <v/>
      </c>
      <c r="L319" s="6"/>
      <c r="M319" s="2" t="s">
        <v>490</v>
      </c>
      <c r="N319" s="2" t="s">
        <v>490</v>
      </c>
      <c r="O319" s="2" t="s">
        <v>490</v>
      </c>
      <c r="P319" t="b">
        <v>0</v>
      </c>
    </row>
    <row r="320" spans="1:16" x14ac:dyDescent="0.25">
      <c r="A320" s="6">
        <v>315</v>
      </c>
      <c r="B320" s="6" t="b">
        <v>0</v>
      </c>
      <c r="C320" t="str">
        <f>_xlfn.LET(
_xlpm.FamilyName,IF(F320="","",F320)&amp;IF(G320="",""," "&amp;G320)&amp;IF(H320="",""," "&amp;H320),
_xlpm.MarriedName,IF(F320="","",F320)&amp;IF(G320="",""," "&amp;G320)&amp;IF(I320="",""," "&amp;I320)&amp;IF(H320="",""," "&amp;"("&amp;H320)&amp;")",
TRIM(IF(Index_of_People[[#This Row],[Prefer NickName]]=TRUE,Index_of_People[[#This Row],[Nick Names]],
IF(I320&lt;&gt;"",_xlpm.MarriedName,_xlpm.FamilyName))))</f>
        <v>Sherry Barnes</v>
      </c>
      <c r="D320" t="b">
        <v>1</v>
      </c>
      <c r="F320" t="s">
        <v>208</v>
      </c>
      <c r="G320" t="s">
        <v>490</v>
      </c>
      <c r="H320" t="s">
        <v>18</v>
      </c>
      <c r="I320" t="s">
        <v>490</v>
      </c>
      <c r="J320" t="s">
        <v>490</v>
      </c>
      <c r="K320" t="str">
        <f>IF(Index_of_People[[#This Row],[SpouseID]]="","",IFERROR(INDEX(Index_of_People[Metadata Name],MATCH(Index_of_People[[#This Row],[SpouseID]],Index_of_People[NameID],0)),""))</f>
        <v/>
      </c>
      <c r="L320" s="6"/>
      <c r="M320" s="2" t="s">
        <v>490</v>
      </c>
      <c r="N320" s="2" t="s">
        <v>490</v>
      </c>
      <c r="O320" s="2" t="s">
        <v>490</v>
      </c>
      <c r="P320" t="b">
        <v>0</v>
      </c>
    </row>
    <row r="321" spans="1:16" x14ac:dyDescent="0.25">
      <c r="A321" s="6">
        <v>316</v>
      </c>
      <c r="B321" s="6" t="b">
        <v>0</v>
      </c>
      <c r="C321" t="str">
        <f>_xlfn.LET(
_xlpm.FamilyName,IF(F321="","",F321)&amp;IF(G321="",""," "&amp;G321)&amp;IF(H321="",""," "&amp;H321),
_xlpm.MarriedName,IF(F321="","",F321)&amp;IF(G321="",""," "&amp;G321)&amp;IF(I321="",""," "&amp;I321)&amp;IF(H321="",""," "&amp;"("&amp;H321)&amp;")",
TRIM(IF(Index_of_People[[#This Row],[Prefer NickName]]=TRUE,Index_of_People[[#This Row],[Nick Names]],
IF(I321&lt;&gt;"",_xlpm.MarriedName,_xlpm.FamilyName))))</f>
        <v>Shery Owen</v>
      </c>
      <c r="D321" t="b">
        <v>1</v>
      </c>
      <c r="F321" t="s">
        <v>209</v>
      </c>
      <c r="H321" t="s">
        <v>433</v>
      </c>
      <c r="J321"/>
      <c r="K321" t="str">
        <f>IF(Index_of_People[[#This Row],[SpouseID]]="","",IFERROR(INDEX(Index_of_People[Metadata Name],MATCH(Index_of_People[[#This Row],[SpouseID]],Index_of_People[NameID],0)),""))</f>
        <v/>
      </c>
      <c r="L321" s="6"/>
      <c r="M321" s="2" t="s">
        <v>490</v>
      </c>
      <c r="N321" s="2" t="s">
        <v>490</v>
      </c>
      <c r="O321" s="2" t="s">
        <v>490</v>
      </c>
      <c r="P321" t="b">
        <v>0</v>
      </c>
    </row>
    <row r="322" spans="1:16" x14ac:dyDescent="0.25">
      <c r="A322" s="6">
        <v>317</v>
      </c>
      <c r="B322" s="6" t="b">
        <v>0</v>
      </c>
      <c r="C322" t="str">
        <f>_xlfn.LET(
_xlpm.FamilyName,IF(F322="","",F322)&amp;IF(G322="",""," "&amp;G322)&amp;IF(H322="",""," "&amp;H322),
_xlpm.MarriedName,IF(F322="","",F322)&amp;IF(G322="",""," "&amp;G322)&amp;IF(I322="",""," "&amp;I322)&amp;IF(H322="",""," "&amp;"("&amp;H322)&amp;")",
TRIM(IF(Index_of_People[[#This Row],[Prefer NickName]]=TRUE,Index_of_People[[#This Row],[Nick Names]],
IF(I322&lt;&gt;"",_xlpm.MarriedName,_xlpm.FamilyName))))</f>
        <v>Shirley Anne Dickson (Foster)</v>
      </c>
      <c r="D322" t="b">
        <v>1</v>
      </c>
      <c r="F322" t="s">
        <v>4</v>
      </c>
      <c r="G322" t="s">
        <v>307</v>
      </c>
      <c r="H322" t="s">
        <v>14</v>
      </c>
      <c r="I322" t="s">
        <v>424</v>
      </c>
      <c r="J322"/>
      <c r="K322" t="str">
        <f>IF(Index_of_People[[#This Row],[SpouseID]]="","",IFERROR(INDEX(Index_of_People[Metadata Name],MATCH(Index_of_People[[#This Row],[SpouseID]],Index_of_People[NameID],0)),""))</f>
        <v/>
      </c>
      <c r="L322" s="6"/>
      <c r="M322" s="2" t="s">
        <v>490</v>
      </c>
      <c r="N322" s="2" t="s">
        <v>490</v>
      </c>
      <c r="O322" s="2" t="s">
        <v>490</v>
      </c>
      <c r="P322" t="b">
        <v>1</v>
      </c>
    </row>
    <row r="323" spans="1:16" x14ac:dyDescent="0.25">
      <c r="A323" s="6">
        <v>318</v>
      </c>
      <c r="B323" s="6" t="b">
        <v>0</v>
      </c>
      <c r="C323" t="str">
        <f>_xlfn.LET(
_xlpm.FamilyName,IF(F323="","",F323)&amp;IF(G323="",""," "&amp;G323)&amp;IF(H323="",""," "&amp;H323),
_xlpm.MarriedName,IF(F323="","",F323)&amp;IF(G323="",""," "&amp;G323)&amp;IF(I323="",""," "&amp;I323)&amp;IF(H323="",""," "&amp;"("&amp;H323)&amp;")",
TRIM(IF(Index_of_People[[#This Row],[Prefer NickName]]=TRUE,Index_of_People[[#This Row],[Nick Names]],
IF(I323&lt;&gt;"",_xlpm.MarriedName,_xlpm.FamilyName))))</f>
        <v>Shirley Bessell</v>
      </c>
      <c r="D323" t="b">
        <v>1</v>
      </c>
      <c r="F323" t="s">
        <v>4</v>
      </c>
      <c r="G323" t="s">
        <v>490</v>
      </c>
      <c r="H323" t="s">
        <v>355</v>
      </c>
      <c r="I323" t="s">
        <v>490</v>
      </c>
      <c r="J323" t="s">
        <v>490</v>
      </c>
      <c r="K323" t="str">
        <f>IF(Index_of_People[[#This Row],[SpouseID]]="","",IFERROR(INDEX(Index_of_People[Metadata Name],MATCH(Index_of_People[[#This Row],[SpouseID]],Index_of_People[NameID],0)),""))</f>
        <v/>
      </c>
      <c r="L323" s="6"/>
      <c r="M323" s="2" t="s">
        <v>490</v>
      </c>
      <c r="N323" s="2" t="s">
        <v>490</v>
      </c>
      <c r="O323" s="2" t="s">
        <v>490</v>
      </c>
      <c r="P323" t="b">
        <v>0</v>
      </c>
    </row>
    <row r="324" spans="1:16" x14ac:dyDescent="0.25">
      <c r="A324" s="6">
        <v>319</v>
      </c>
      <c r="B324" s="6" t="b">
        <v>0</v>
      </c>
      <c r="C324" t="str">
        <f>_xlfn.LET(
_xlpm.FamilyName,IF(F324="","",F324)&amp;IF(G324="",""," "&amp;G324)&amp;IF(H324="",""," "&amp;H324),
_xlpm.MarriedName,IF(F324="","",F324)&amp;IF(G324="",""," "&amp;G324)&amp;IF(I324="",""," "&amp;I324)&amp;IF(H324="",""," "&amp;"("&amp;H324)&amp;")",
TRIM(IF(Index_of_People[[#This Row],[Prefer NickName]]=TRUE,Index_of_People[[#This Row],[Nick Names]],
IF(I324&lt;&gt;"",_xlpm.MarriedName,_xlpm.FamilyName))))</f>
        <v>Shotsie</v>
      </c>
      <c r="D324" t="b">
        <v>0</v>
      </c>
      <c r="F324" t="s">
        <v>286</v>
      </c>
      <c r="J324" t="s">
        <v>467</v>
      </c>
      <c r="K324" t="str">
        <f>IF(Index_of_People[[#This Row],[SpouseID]]="","",IFERROR(INDEX(Index_of_People[Metadata Name],MATCH(Index_of_People[[#This Row],[SpouseID]],Index_of_People[NameID],0)),""))</f>
        <v/>
      </c>
      <c r="L324" s="6"/>
      <c r="M324" s="2" t="s">
        <v>490</v>
      </c>
      <c r="N324" s="2" t="s">
        <v>490</v>
      </c>
      <c r="O324" s="2" t="s">
        <v>490</v>
      </c>
      <c r="P324" t="b">
        <v>0</v>
      </c>
    </row>
    <row r="325" spans="1:16" x14ac:dyDescent="0.25">
      <c r="A325" s="6">
        <v>320</v>
      </c>
      <c r="B325" s="6" t="b">
        <v>0</v>
      </c>
      <c r="C325" t="str">
        <f>_xlfn.LET(
_xlpm.FamilyName,IF(F325="","",F325)&amp;IF(G325="",""," "&amp;G325)&amp;IF(H325="",""," "&amp;H325),
_xlpm.MarriedName,IF(F325="","",F325)&amp;IF(G325="",""," "&amp;G325)&amp;IF(I325="",""," "&amp;I325)&amp;IF(H325="",""," "&amp;"("&amp;H325)&amp;")",
TRIM(IF(Index_of_People[[#This Row],[Prefer NickName]]=TRUE,Index_of_People[[#This Row],[Nick Names]],
IF(I325&lt;&gt;"",_xlpm.MarriedName,_xlpm.FamilyName))))</f>
        <v>Sid Tafler</v>
      </c>
      <c r="D325" t="b">
        <v>1</v>
      </c>
      <c r="F325" t="s">
        <v>210</v>
      </c>
      <c r="H325" t="s">
        <v>434</v>
      </c>
      <c r="J325"/>
      <c r="K325" t="str">
        <f>IF(Index_of_People[[#This Row],[SpouseID]]="","",IFERROR(INDEX(Index_of_People[Metadata Name],MATCH(Index_of_People[[#This Row],[SpouseID]],Index_of_People[NameID],0)),""))</f>
        <v/>
      </c>
      <c r="L325" s="6"/>
      <c r="M325" s="2" t="s">
        <v>490</v>
      </c>
      <c r="N325" s="2" t="s">
        <v>490</v>
      </c>
      <c r="O325" s="2" t="s">
        <v>490</v>
      </c>
      <c r="P325" t="b">
        <v>0</v>
      </c>
    </row>
    <row r="326" spans="1:16" x14ac:dyDescent="0.25">
      <c r="A326" s="6">
        <v>321</v>
      </c>
      <c r="B326" s="6" t="b">
        <v>0</v>
      </c>
      <c r="C326" t="str">
        <f>_xlfn.LET(
_xlpm.FamilyName,IF(F326="","",F326)&amp;IF(G326="",""," "&amp;G326)&amp;IF(H326="",""," "&amp;H326),
_xlpm.MarriedName,IF(F326="","",F326)&amp;IF(G326="",""," "&amp;G326)&amp;IF(I326="",""," "&amp;I326)&amp;IF(H326="",""," "&amp;"("&amp;H326)&amp;")",
TRIM(IF(Index_of_People[[#This Row],[Prefer NickName]]=TRUE,Index_of_People[[#This Row],[Nick Names]],
IF(I326&lt;&gt;"",_xlpm.MarriedName,_xlpm.FamilyName))))</f>
        <v>Sidney Webster</v>
      </c>
      <c r="D326" t="b">
        <v>1</v>
      </c>
      <c r="F326" t="s">
        <v>8</v>
      </c>
      <c r="H326" t="s">
        <v>435</v>
      </c>
      <c r="J326"/>
      <c r="K326" t="str">
        <f>IF(Index_of_People[[#This Row],[SpouseID]]="","",IFERROR(INDEX(Index_of_People[Metadata Name],MATCH(Index_of_People[[#This Row],[SpouseID]],Index_of_People[NameID],0)),""))</f>
        <v/>
      </c>
      <c r="L326" s="6"/>
      <c r="M326" s="2" t="s">
        <v>490</v>
      </c>
      <c r="N326" s="2" t="s">
        <v>490</v>
      </c>
      <c r="O326" s="2" t="s">
        <v>490</v>
      </c>
      <c r="P326" t="b">
        <v>0</v>
      </c>
    </row>
    <row r="327" spans="1:16" x14ac:dyDescent="0.25">
      <c r="A327" s="6">
        <v>322</v>
      </c>
      <c r="B327" s="6" t="b">
        <v>0</v>
      </c>
      <c r="C327" t="str">
        <f>_xlfn.LET(
_xlpm.FamilyName,IF(F327="","",F327)&amp;IF(G327="",""," "&amp;G327)&amp;IF(H327="",""," "&amp;H327),
_xlpm.MarriedName,IF(F327="","",F327)&amp;IF(G327="",""," "&amp;G327)&amp;IF(I327="",""," "&amp;I327)&amp;IF(H327="",""," "&amp;"("&amp;H327)&amp;")",
TRIM(IF(Index_of_People[[#This Row],[Prefer NickName]]=TRUE,Index_of_People[[#This Row],[Nick Names]],
IF(I327&lt;&gt;"",_xlpm.MarriedName,_xlpm.FamilyName))))</f>
        <v>Silverton</v>
      </c>
      <c r="D327" t="b">
        <v>0</v>
      </c>
      <c r="E327" t="s">
        <v>185</v>
      </c>
      <c r="H327" t="s">
        <v>2</v>
      </c>
      <c r="J327"/>
      <c r="K327" t="str">
        <f>IF(Index_of_People[[#This Row],[SpouseID]]="","",IFERROR(INDEX(Index_of_People[Metadata Name],MATCH(Index_of_People[[#This Row],[SpouseID]],Index_of_People[NameID],0)),""))</f>
        <v/>
      </c>
      <c r="L327" s="6"/>
      <c r="M327" s="2" t="s">
        <v>490</v>
      </c>
      <c r="N327" s="2" t="s">
        <v>490</v>
      </c>
      <c r="O327" s="2" t="s">
        <v>490</v>
      </c>
      <c r="P327" t="b">
        <v>0</v>
      </c>
    </row>
    <row r="328" spans="1:16" x14ac:dyDescent="0.25">
      <c r="A328" s="6">
        <v>323</v>
      </c>
      <c r="B328" s="6" t="b">
        <v>0</v>
      </c>
      <c r="C328" t="str">
        <f>_xlfn.LET(
_xlpm.FamilyName,IF(F328="","",F328)&amp;IF(G328="",""," "&amp;G328)&amp;IF(H328="",""," "&amp;H328),
_xlpm.MarriedName,IF(F328="","",F328)&amp;IF(G328="",""," "&amp;G328)&amp;IF(I328="",""," "&amp;I328)&amp;IF(H328="",""," "&amp;"("&amp;H328)&amp;")",
TRIM(IF(Index_of_People[[#This Row],[Prefer NickName]]=TRUE,Index_of_People[[#This Row],[Nick Names]],
IF(I328&lt;&gt;"",_xlpm.MarriedName,_xlpm.FamilyName))))</f>
        <v>Simon Walker</v>
      </c>
      <c r="D328" t="b">
        <v>1</v>
      </c>
      <c r="F328" t="s">
        <v>211</v>
      </c>
      <c r="H328" t="s">
        <v>11</v>
      </c>
      <c r="J328"/>
      <c r="K328" t="str">
        <f>IF(Index_of_People[[#This Row],[SpouseID]]="","",IFERROR(INDEX(Index_of_People[Metadata Name],MATCH(Index_of_People[[#This Row],[SpouseID]],Index_of_People[NameID],0)),""))</f>
        <v/>
      </c>
      <c r="L328" s="6"/>
      <c r="M328" s="2" t="s">
        <v>490</v>
      </c>
      <c r="N328" s="2" t="s">
        <v>490</v>
      </c>
      <c r="O328" s="2" t="s">
        <v>490</v>
      </c>
      <c r="P328" t="b">
        <v>0</v>
      </c>
    </row>
    <row r="329" spans="1:16" x14ac:dyDescent="0.25">
      <c r="A329" s="6">
        <v>324</v>
      </c>
      <c r="B329" s="6" t="b">
        <v>0</v>
      </c>
      <c r="C329" t="str">
        <f>_xlfn.LET(
_xlpm.FamilyName,IF(F329="","",F329)&amp;IF(G329="",""," "&amp;G329)&amp;IF(H329="",""," "&amp;H329),
_xlpm.MarriedName,IF(F329="","",F329)&amp;IF(G329="",""," "&amp;G329)&amp;IF(I329="",""," "&amp;I329)&amp;IF(H329="",""," "&amp;"("&amp;H329)&amp;")",
TRIM(IF(Index_of_People[[#This Row],[Prefer NickName]]=TRUE,Index_of_People[[#This Row],[Nick Names]],
IF(I329&lt;&gt;"",_xlpm.MarriedName,_xlpm.FamilyName))))</f>
        <v>Starr Weiss</v>
      </c>
      <c r="D329" t="b">
        <v>1</v>
      </c>
      <c r="F329" t="s">
        <v>212</v>
      </c>
      <c r="H329" t="s">
        <v>436</v>
      </c>
      <c r="J329"/>
      <c r="K329" t="str">
        <f>IF(Index_of_People[[#This Row],[SpouseID]]="","",IFERROR(INDEX(Index_of_People[Metadata Name],MATCH(Index_of_People[[#This Row],[SpouseID]],Index_of_People[NameID],0)),""))</f>
        <v/>
      </c>
      <c r="L329" s="6"/>
      <c r="M329" s="2" t="s">
        <v>490</v>
      </c>
      <c r="N329" s="2" t="s">
        <v>490</v>
      </c>
      <c r="O329" s="2" t="s">
        <v>490</v>
      </c>
      <c r="P329" t="b">
        <v>0</v>
      </c>
    </row>
    <row r="330" spans="1:16" x14ac:dyDescent="0.25">
      <c r="A330" s="6">
        <v>325</v>
      </c>
      <c r="B330" s="6" t="b">
        <v>0</v>
      </c>
      <c r="C330" t="str">
        <f>_xlfn.LET(
_xlpm.FamilyName,IF(F330="","",F330)&amp;IF(G330="",""," "&amp;G330)&amp;IF(H330="",""," "&amp;H330),
_xlpm.MarriedName,IF(F330="","",F330)&amp;IF(G330="",""," "&amp;G330)&amp;IF(I330="",""," "&amp;I330)&amp;IF(H330="",""," "&amp;"("&amp;H330)&amp;")",
TRIM(IF(Index_of_People[[#This Row],[Prefer NickName]]=TRUE,Index_of_People[[#This Row],[Nick Names]],
IF(I330&lt;&gt;"",_xlpm.MarriedName,_xlpm.FamilyName))))</f>
        <v>Stephen Njume</v>
      </c>
      <c r="D330" t="b">
        <v>1</v>
      </c>
      <c r="F330" t="s">
        <v>213</v>
      </c>
      <c r="H330" t="s">
        <v>298</v>
      </c>
      <c r="J330"/>
      <c r="K330" t="str">
        <f>IF(Index_of_People[[#This Row],[SpouseID]]="","",IFERROR(INDEX(Index_of_People[Metadata Name],MATCH(Index_of_People[[#This Row],[SpouseID]],Index_of_People[NameID],0)),""))</f>
        <v/>
      </c>
      <c r="L330" s="6"/>
      <c r="M330" s="2" t="s">
        <v>490</v>
      </c>
      <c r="N330" s="2" t="s">
        <v>490</v>
      </c>
      <c r="O330" s="2" t="s">
        <v>490</v>
      </c>
      <c r="P330" t="b">
        <v>0</v>
      </c>
    </row>
    <row r="331" spans="1:16" x14ac:dyDescent="0.25">
      <c r="A331" s="6">
        <v>326</v>
      </c>
      <c r="B331" s="6" t="b">
        <v>0</v>
      </c>
      <c r="C331" t="str">
        <f>_xlfn.LET(
_xlpm.FamilyName,IF(F331="","",F331)&amp;IF(G331="",""," "&amp;G331)&amp;IF(H331="",""," "&amp;H331),
_xlpm.MarriedName,IF(F331="","",F331)&amp;IF(G331="",""," "&amp;G331)&amp;IF(I331="",""," "&amp;I331)&amp;IF(H331="",""," "&amp;"("&amp;H331)&amp;")",
TRIM(IF(Index_of_People[[#This Row],[Prefer NickName]]=TRUE,Index_of_People[[#This Row],[Nick Names]],
IF(I331&lt;&gt;"",_xlpm.MarriedName,_xlpm.FamilyName))))</f>
        <v>Stephen Paul Stibbe</v>
      </c>
      <c r="D331" t="b">
        <v>1</v>
      </c>
      <c r="F331" t="s">
        <v>213</v>
      </c>
      <c r="G331" t="s">
        <v>193</v>
      </c>
      <c r="H331" t="s">
        <v>308</v>
      </c>
      <c r="J331"/>
      <c r="K331" t="str">
        <f>IF(Index_of_People[[#This Row],[SpouseID]]="","",IFERROR(INDEX(Index_of_People[Metadata Name],MATCH(Index_of_People[[#This Row],[SpouseID]],Index_of_People[NameID],0)),""))</f>
        <v>Susan Kathleen Stibbe (Penner)</v>
      </c>
      <c r="L331" s="6">
        <v>332</v>
      </c>
      <c r="N331" s="2">
        <v>33849</v>
      </c>
      <c r="P331" t="b">
        <v>1</v>
      </c>
    </row>
    <row r="332" spans="1:16" x14ac:dyDescent="0.25">
      <c r="A332" s="6">
        <v>327</v>
      </c>
      <c r="B332" s="6" t="b">
        <v>0</v>
      </c>
      <c r="C332" t="str">
        <f>_xlfn.LET(
_xlpm.FamilyName,IF(F332="","",F332)&amp;IF(G332="",""," "&amp;G332)&amp;IF(H332="",""," "&amp;H332),
_xlpm.MarriedName,IF(F332="","",F332)&amp;IF(G332="",""," "&amp;G332)&amp;IF(I332="",""," "&amp;I332)&amp;IF(H332="",""," "&amp;"("&amp;H332)&amp;")",
TRIM(IF(Index_of_People[[#This Row],[Prefer NickName]]=TRUE,Index_of_People[[#This Row],[Nick Names]],
IF(I332&lt;&gt;"",_xlpm.MarriedName,_xlpm.FamilyName))))</f>
        <v>Steve Webb</v>
      </c>
      <c r="D332" t="b">
        <v>1</v>
      </c>
      <c r="F332" t="s">
        <v>214</v>
      </c>
      <c r="H332" t="s">
        <v>324</v>
      </c>
      <c r="J332"/>
      <c r="K332" t="str">
        <f>IF(Index_of_People[[#This Row],[SpouseID]]="","",IFERROR(INDEX(Index_of_People[Metadata Name],MATCH(Index_of_People[[#This Row],[SpouseID]],Index_of_People[NameID],0)),""))</f>
        <v/>
      </c>
      <c r="L332" s="6"/>
      <c r="M332" s="2" t="s">
        <v>490</v>
      </c>
      <c r="N332" s="2" t="s">
        <v>490</v>
      </c>
      <c r="O332" s="2" t="s">
        <v>490</v>
      </c>
      <c r="P332" t="b">
        <v>0</v>
      </c>
    </row>
    <row r="333" spans="1:16" x14ac:dyDescent="0.25">
      <c r="A333" s="6">
        <v>328</v>
      </c>
      <c r="B333" s="6" t="b">
        <v>0</v>
      </c>
      <c r="C333" t="str">
        <f>_xlfn.LET(
_xlpm.FamilyName,IF(F333="","",F333)&amp;IF(G333="",""," "&amp;G333)&amp;IF(H333="",""," "&amp;H333),
_xlpm.MarriedName,IF(F333="","",F333)&amp;IF(G333="",""," "&amp;G333)&amp;IF(I333="",""," "&amp;I333)&amp;IF(H333="",""," "&amp;"("&amp;H333)&amp;")",
TRIM(IF(Index_of_People[[#This Row],[Prefer NickName]]=TRUE,Index_of_People[[#This Row],[Nick Names]],
IF(I333&lt;&gt;"",_xlpm.MarriedName,_xlpm.FamilyName))))</f>
        <v>Stonie</v>
      </c>
      <c r="D333" t="b">
        <v>0</v>
      </c>
      <c r="F333" t="s">
        <v>215</v>
      </c>
      <c r="J333" t="s">
        <v>475</v>
      </c>
      <c r="K333" t="str">
        <f>IF(Index_of_People[[#This Row],[SpouseID]]="","",IFERROR(INDEX(Index_of_People[Metadata Name],MATCH(Index_of_People[[#This Row],[SpouseID]],Index_of_People[NameID],0)),""))</f>
        <v/>
      </c>
      <c r="L333" s="6"/>
      <c r="M333" s="2" t="s">
        <v>490</v>
      </c>
      <c r="N333" s="2" t="s">
        <v>490</v>
      </c>
      <c r="O333" s="2" t="s">
        <v>490</v>
      </c>
      <c r="P333" t="b">
        <v>0</v>
      </c>
    </row>
    <row r="334" spans="1:16" x14ac:dyDescent="0.25">
      <c r="A334" s="6">
        <v>329</v>
      </c>
      <c r="B334" s="6" t="b">
        <v>0</v>
      </c>
      <c r="C334" t="str">
        <f>_xlfn.LET(
_xlpm.FamilyName,IF(F334="","",F334)&amp;IF(G334="",""," "&amp;G334)&amp;IF(H334="",""," "&amp;H334),
_xlpm.MarriedName,IF(F334="","",F334)&amp;IF(G334="",""," "&amp;G334)&amp;IF(I334="",""," "&amp;I334)&amp;IF(H334="",""," "&amp;"("&amp;H334)&amp;")",
TRIM(IF(Index_of_People[[#This Row],[Prefer NickName]]=TRUE,Index_of_People[[#This Row],[Nick Names]],
IF(I334&lt;&gt;"",_xlpm.MarriedName,_xlpm.FamilyName))))</f>
        <v>Stormy</v>
      </c>
      <c r="D334" t="b">
        <v>0</v>
      </c>
      <c r="F334" t="s">
        <v>287</v>
      </c>
      <c r="J334" t="s">
        <v>470</v>
      </c>
      <c r="K334" t="str">
        <f>IF(Index_of_People[[#This Row],[SpouseID]]="","",IFERROR(INDEX(Index_of_People[Metadata Name],MATCH(Index_of_People[[#This Row],[SpouseID]],Index_of_People[NameID],0)),""))</f>
        <v/>
      </c>
      <c r="L334" s="6"/>
      <c r="M334" s="2" t="s">
        <v>490</v>
      </c>
      <c r="N334" s="2" t="s">
        <v>490</v>
      </c>
      <c r="O334" s="2" t="s">
        <v>490</v>
      </c>
      <c r="P334" t="b">
        <v>0</v>
      </c>
    </row>
    <row r="335" spans="1:16" x14ac:dyDescent="0.25">
      <c r="A335" s="6">
        <v>330</v>
      </c>
      <c r="B335" s="6" t="b">
        <v>0</v>
      </c>
      <c r="C335" t="str">
        <f>_xlfn.LET(
_xlpm.FamilyName,IF(F335="","",F335)&amp;IF(G335="",""," "&amp;G335)&amp;IF(H335="",""," "&amp;H335),
_xlpm.MarriedName,IF(F335="","",F335)&amp;IF(G335="",""," "&amp;G335)&amp;IF(I335="",""," "&amp;I335)&amp;IF(H335="",""," "&amp;"("&amp;H335)&amp;")",
TRIM(IF(Index_of_People[[#This Row],[Prefer NickName]]=TRUE,Index_of_People[[#This Row],[Nick Names]],
IF(I335&lt;&gt;"",_xlpm.MarriedName,_xlpm.FamilyName))))</f>
        <v>Susan</v>
      </c>
      <c r="D335" t="b">
        <v>0</v>
      </c>
      <c r="F335" t="s">
        <v>216</v>
      </c>
      <c r="J335" t="s">
        <v>466</v>
      </c>
      <c r="K335" t="str">
        <f>IF(Index_of_People[[#This Row],[SpouseID]]="","",IFERROR(INDEX(Index_of_People[Metadata Name],MATCH(Index_of_People[[#This Row],[SpouseID]],Index_of_People[NameID],0)),""))</f>
        <v/>
      </c>
      <c r="L335" s="6"/>
      <c r="M335" s="2" t="s">
        <v>490</v>
      </c>
      <c r="N335" s="2" t="s">
        <v>490</v>
      </c>
      <c r="O335" s="2" t="s">
        <v>490</v>
      </c>
      <c r="P335" t="b">
        <v>0</v>
      </c>
    </row>
    <row r="336" spans="1:16" x14ac:dyDescent="0.25">
      <c r="A336" s="6">
        <v>331</v>
      </c>
      <c r="B336" s="6" t="b">
        <v>0</v>
      </c>
      <c r="C336" t="str">
        <f>_xlfn.LET(
_xlpm.FamilyName,IF(F336="","",F336)&amp;IF(G336="",""," "&amp;G336)&amp;IF(H336="",""," "&amp;H336),
_xlpm.MarriedName,IF(F336="","",F336)&amp;IF(G336="",""," "&amp;G336)&amp;IF(I336="",""," "&amp;I336)&amp;IF(H336="",""," "&amp;"("&amp;H336)&amp;")",
TRIM(IF(Index_of_People[[#This Row],[Prefer NickName]]=TRUE,Index_of_People[[#This Row],[Nick Names]],
IF(I336&lt;&gt;"",_xlpm.MarriedName,_xlpm.FamilyName))))</f>
        <v>Susan Bannerman</v>
      </c>
      <c r="D336" t="b">
        <v>1</v>
      </c>
      <c r="F336" t="s">
        <v>216</v>
      </c>
      <c r="H336" t="s">
        <v>437</v>
      </c>
      <c r="J336"/>
      <c r="K336" t="str">
        <f>IF(Index_of_People[[#This Row],[SpouseID]]="","",IFERROR(INDEX(Index_of_People[Metadata Name],MATCH(Index_of_People[[#This Row],[SpouseID]],Index_of_People[NameID],0)),""))</f>
        <v/>
      </c>
      <c r="L336" s="6"/>
      <c r="M336" s="2" t="s">
        <v>490</v>
      </c>
      <c r="N336" s="2" t="s">
        <v>490</v>
      </c>
      <c r="O336" s="2" t="s">
        <v>490</v>
      </c>
      <c r="P336" t="b">
        <v>0</v>
      </c>
    </row>
    <row r="337" spans="1:16" x14ac:dyDescent="0.25">
      <c r="A337" s="6">
        <v>332</v>
      </c>
      <c r="B337" s="6" t="b">
        <v>0</v>
      </c>
      <c r="C337" t="str">
        <f>_xlfn.LET(
_xlpm.FamilyName,IF(F337="","",F337)&amp;IF(G337="",""," "&amp;G337)&amp;IF(H337="",""," "&amp;H337),
_xlpm.MarriedName,IF(F337="","",F337)&amp;IF(G337="",""," "&amp;G337)&amp;IF(I337="",""," "&amp;I337)&amp;IF(H337="",""," "&amp;"("&amp;H337)&amp;")",
TRIM(IF(Index_of_People[[#This Row],[Prefer NickName]]=TRUE,Index_of_People[[#This Row],[Nick Names]],
IF(I337&lt;&gt;"",_xlpm.MarriedName,_xlpm.FamilyName))))</f>
        <v>Susan Kathleen Stibbe (Penner)</v>
      </c>
      <c r="D337" t="b">
        <v>1</v>
      </c>
      <c r="F337" t="s">
        <v>216</v>
      </c>
      <c r="G337" t="s">
        <v>438</v>
      </c>
      <c r="H337" t="s">
        <v>295</v>
      </c>
      <c r="I337" t="s">
        <v>308</v>
      </c>
      <c r="J337"/>
      <c r="K337" t="str">
        <f>IF(Index_of_People[[#This Row],[SpouseID]]="","",IFERROR(INDEX(Index_of_People[Metadata Name],MATCH(Index_of_People[[#This Row],[SpouseID]],Index_of_People[NameID],0)),""))</f>
        <v>Stephen Paul Stibbe</v>
      </c>
      <c r="L337" s="6">
        <v>326</v>
      </c>
      <c r="M337" s="2">
        <v>25083</v>
      </c>
      <c r="N337" s="2">
        <v>33849</v>
      </c>
      <c r="P337" t="b">
        <v>1</v>
      </c>
    </row>
    <row r="338" spans="1:16" x14ac:dyDescent="0.25">
      <c r="A338" s="6">
        <v>333</v>
      </c>
      <c r="B338" s="6" t="b">
        <v>0</v>
      </c>
      <c r="C338" t="str">
        <f>_xlfn.LET(
_xlpm.FamilyName,IF(F338="","",F338)&amp;IF(G338="",""," "&amp;G338)&amp;IF(H338="",""," "&amp;H338),
_xlpm.MarriedName,IF(F338="","",F338)&amp;IF(G338="",""," "&amp;G338)&amp;IF(I338="",""," "&amp;I338)&amp;IF(H338="",""," "&amp;"("&amp;H338)&amp;")",
TRIM(IF(Index_of_People[[#This Row],[Prefer NickName]]=TRUE,Index_of_People[[#This Row],[Nick Names]],
IF(I338&lt;&gt;"",_xlpm.MarriedName,_xlpm.FamilyName))))</f>
        <v>Susan Moger</v>
      </c>
      <c r="D338" t="b">
        <v>1</v>
      </c>
      <c r="F338" t="s">
        <v>216</v>
      </c>
      <c r="H338" t="s">
        <v>439</v>
      </c>
      <c r="J338"/>
      <c r="K338" t="str">
        <f>IF(Index_of_People[[#This Row],[SpouseID]]="","",IFERROR(INDEX(Index_of_People[Metadata Name],MATCH(Index_of_People[[#This Row],[SpouseID]],Index_of_People[NameID],0)),""))</f>
        <v/>
      </c>
      <c r="L338" s="6"/>
      <c r="M338" s="2" t="s">
        <v>490</v>
      </c>
      <c r="N338" s="2" t="s">
        <v>490</v>
      </c>
      <c r="O338" s="2" t="s">
        <v>490</v>
      </c>
      <c r="P338" t="b">
        <v>0</v>
      </c>
    </row>
    <row r="339" spans="1:16" x14ac:dyDescent="0.25">
      <c r="A339" s="6">
        <v>334</v>
      </c>
      <c r="B339" s="6" t="b">
        <v>0</v>
      </c>
      <c r="C339" t="str">
        <f>_xlfn.LET(
_xlpm.FamilyName,IF(F339="","",F339)&amp;IF(G339="",""," "&amp;G339)&amp;IF(H339="",""," "&amp;H339),
_xlpm.MarriedName,IF(F339="","",F339)&amp;IF(G339="",""," "&amp;G339)&amp;IF(I339="",""," "&amp;I339)&amp;IF(H339="",""," "&amp;"("&amp;H339)&amp;")",
TRIM(IF(Index_of_People[[#This Row],[Prefer NickName]]=TRUE,Index_of_People[[#This Row],[Nick Names]],
IF(I339&lt;&gt;"",_xlpm.MarriedName,_xlpm.FamilyName))))</f>
        <v>Suzanne Andrews</v>
      </c>
      <c r="D339" t="b">
        <v>1</v>
      </c>
      <c r="F339" t="s">
        <v>217</v>
      </c>
      <c r="G339" t="s">
        <v>490</v>
      </c>
      <c r="H339" t="s">
        <v>306</v>
      </c>
      <c r="I339" t="s">
        <v>490</v>
      </c>
      <c r="J339" t="s">
        <v>490</v>
      </c>
      <c r="K339" t="str">
        <f>IF(Index_of_People[[#This Row],[SpouseID]]="","",IFERROR(INDEX(Index_of_People[Metadata Name],MATCH(Index_of_People[[#This Row],[SpouseID]],Index_of_People[NameID],0)),""))</f>
        <v/>
      </c>
      <c r="L339" s="6"/>
      <c r="M339" s="2" t="s">
        <v>490</v>
      </c>
      <c r="N339" s="2" t="s">
        <v>490</v>
      </c>
      <c r="O339" s="2" t="s">
        <v>490</v>
      </c>
      <c r="P339" t="b">
        <v>0</v>
      </c>
    </row>
    <row r="340" spans="1:16" x14ac:dyDescent="0.25">
      <c r="A340" s="6">
        <v>335</v>
      </c>
      <c r="B340" s="6" t="b">
        <v>0</v>
      </c>
      <c r="C340" t="str">
        <f>_xlfn.LET(
_xlpm.FamilyName,IF(F340="","",F340)&amp;IF(G340="",""," "&amp;G340)&amp;IF(H340="",""," "&amp;H340),
_xlpm.MarriedName,IF(F340="","",F340)&amp;IF(G340="",""," "&amp;G340)&amp;IF(I340="",""," "&amp;I340)&amp;IF(H340="",""," "&amp;"("&amp;H340)&amp;")",
TRIM(IF(Index_of_People[[#This Row],[Prefer NickName]]=TRUE,Index_of_People[[#This Row],[Nick Names]],
IF(I340&lt;&gt;"",_xlpm.MarriedName,_xlpm.FamilyName))))</f>
        <v>Suzie</v>
      </c>
      <c r="D340" t="b">
        <v>0</v>
      </c>
      <c r="F340" t="s">
        <v>288</v>
      </c>
      <c r="J340" t="s">
        <v>464</v>
      </c>
      <c r="K340" t="str">
        <f>IF(Index_of_People[[#This Row],[SpouseID]]="","",IFERROR(INDEX(Index_of_People[Metadata Name],MATCH(Index_of_People[[#This Row],[SpouseID]],Index_of_People[NameID],0)),""))</f>
        <v/>
      </c>
      <c r="L340" s="6"/>
      <c r="M340" s="2" t="s">
        <v>490</v>
      </c>
      <c r="N340" s="2" t="s">
        <v>490</v>
      </c>
      <c r="O340" s="2" t="s">
        <v>490</v>
      </c>
      <c r="P340" t="b">
        <v>0</v>
      </c>
    </row>
    <row r="341" spans="1:16" x14ac:dyDescent="0.25">
      <c r="A341" s="6">
        <v>336</v>
      </c>
      <c r="B341" s="6" t="b">
        <v>0</v>
      </c>
      <c r="C341" t="str">
        <f>_xlfn.LET(
_xlpm.FamilyName,IF(F341="","",F341)&amp;IF(G341="",""," "&amp;G341)&amp;IF(H341="",""," "&amp;H341),
_xlpm.MarriedName,IF(F341="","",F341)&amp;IF(G341="",""," "&amp;G341)&amp;IF(I341="",""," "&amp;I341)&amp;IF(H341="",""," "&amp;"("&amp;H341)&amp;")",
TRIM(IF(Index_of_People[[#This Row],[Prefer NickName]]=TRUE,Index_of_People[[#This Row],[Nick Names]],
IF(I341&lt;&gt;"",_xlpm.MarriedName,_xlpm.FamilyName))))</f>
        <v>Tammie</v>
      </c>
      <c r="D341" t="b">
        <v>0</v>
      </c>
      <c r="F341" t="s">
        <v>69</v>
      </c>
      <c r="J341"/>
      <c r="K341" t="str">
        <f>IF(Index_of_People[[#This Row],[SpouseID]]="","",IFERROR(INDEX(Index_of_People[Metadata Name],MATCH(Index_of_People[[#This Row],[SpouseID]],Index_of_People[NameID],0)),""))</f>
        <v/>
      </c>
      <c r="L341" s="6"/>
      <c r="M341" s="2" t="s">
        <v>490</v>
      </c>
      <c r="N341" s="2" t="s">
        <v>490</v>
      </c>
      <c r="O341" s="2" t="s">
        <v>490</v>
      </c>
      <c r="P341" t="b">
        <v>0</v>
      </c>
    </row>
    <row r="342" spans="1:16" x14ac:dyDescent="0.25">
      <c r="A342" s="6">
        <v>337</v>
      </c>
      <c r="B342" s="6" t="b">
        <v>0</v>
      </c>
      <c r="C342" t="str">
        <f>_xlfn.LET(
_xlpm.FamilyName,IF(F342="","",F342)&amp;IF(G342="",""," "&amp;G342)&amp;IF(H342="",""," "&amp;H342),
_xlpm.MarriedName,IF(F342="","",F342)&amp;IF(G342="",""," "&amp;G342)&amp;IF(I342="",""," "&amp;I342)&amp;IF(H342="",""," "&amp;"("&amp;H342)&amp;")",
TRIM(IF(Index_of_People[[#This Row],[Prefer NickName]]=TRUE,Index_of_People[[#This Row],[Nick Names]],
IF(I342&lt;&gt;"",_xlpm.MarriedName,_xlpm.FamilyName))))</f>
        <v>Teresa Sankey</v>
      </c>
      <c r="D342" t="b">
        <v>1</v>
      </c>
      <c r="F342" t="s">
        <v>218</v>
      </c>
      <c r="H342" t="s">
        <v>440</v>
      </c>
      <c r="J342"/>
      <c r="K342" t="str">
        <f>IF(Index_of_People[[#This Row],[SpouseID]]="","",IFERROR(INDEX(Index_of_People[Metadata Name],MATCH(Index_of_People[[#This Row],[SpouseID]],Index_of_People[NameID],0)),""))</f>
        <v/>
      </c>
      <c r="L342" s="6"/>
      <c r="M342" s="2" t="s">
        <v>490</v>
      </c>
      <c r="N342" s="2" t="s">
        <v>490</v>
      </c>
      <c r="O342" s="2" t="s">
        <v>490</v>
      </c>
      <c r="P342" t="b">
        <v>0</v>
      </c>
    </row>
    <row r="343" spans="1:16" x14ac:dyDescent="0.25">
      <c r="A343" s="6">
        <v>338</v>
      </c>
      <c r="B343" s="6" t="b">
        <v>0</v>
      </c>
      <c r="C343" t="str">
        <f>_xlfn.LET(
_xlpm.FamilyName,IF(F343="","",F343)&amp;IF(G343="",""," "&amp;G343)&amp;IF(H343="",""," "&amp;H343),
_xlpm.MarriedName,IF(F343="","",F343)&amp;IF(G343="",""," "&amp;G343)&amp;IF(I343="",""," "&amp;I343)&amp;IF(H343="",""," "&amp;"("&amp;H343)&amp;")",
TRIM(IF(Index_of_People[[#This Row],[Prefer NickName]]=TRUE,Index_of_People[[#This Row],[Nick Names]],
IF(I343&lt;&gt;"",_xlpm.MarriedName,_xlpm.FamilyName))))</f>
        <v>Thomas Bed</v>
      </c>
      <c r="D343" t="b">
        <v>1</v>
      </c>
      <c r="E343" t="s">
        <v>186</v>
      </c>
      <c r="F343" t="s">
        <v>219</v>
      </c>
      <c r="G343" t="s">
        <v>490</v>
      </c>
      <c r="H343" t="s">
        <v>441</v>
      </c>
      <c r="I343" t="s">
        <v>490</v>
      </c>
      <c r="J343" t="s">
        <v>490</v>
      </c>
      <c r="K343" t="str">
        <f>IF(Index_of_People[[#This Row],[SpouseID]]="","",IFERROR(INDEX(Index_of_People[Metadata Name],MATCH(Index_of_People[[#This Row],[SpouseID]],Index_of_People[NameID],0)),""))</f>
        <v/>
      </c>
      <c r="L343" s="6"/>
      <c r="M343" s="2" t="s">
        <v>490</v>
      </c>
      <c r="N343" s="2" t="s">
        <v>490</v>
      </c>
      <c r="O343" s="2" t="s">
        <v>490</v>
      </c>
      <c r="P343" t="b">
        <v>0</v>
      </c>
    </row>
    <row r="344" spans="1:16" x14ac:dyDescent="0.25">
      <c r="A344" s="6">
        <v>339</v>
      </c>
      <c r="B344" s="6" t="b">
        <v>0</v>
      </c>
      <c r="C344" t="str">
        <f>_xlfn.LET(
_xlpm.FamilyName,IF(F344="","",F344)&amp;IF(G344="",""," "&amp;G344)&amp;IF(H344="",""," "&amp;H344),
_xlpm.MarriedName,IF(F344="","",F344)&amp;IF(G344="",""," "&amp;G344)&amp;IF(I344="",""," "&amp;I344)&amp;IF(H344="",""," "&amp;"("&amp;H344)&amp;")",
TRIM(IF(Index_of_People[[#This Row],[Prefer NickName]]=TRUE,Index_of_People[[#This Row],[Nick Names]],
IF(I344&lt;&gt;"",_xlpm.MarriedName,_xlpm.FamilyName))))</f>
        <v>Thorsel</v>
      </c>
      <c r="D344" t="b">
        <v>0</v>
      </c>
      <c r="E344" t="s">
        <v>185</v>
      </c>
      <c r="H344" t="s">
        <v>405</v>
      </c>
      <c r="J344"/>
      <c r="K344" t="str">
        <f>IF(Index_of_People[[#This Row],[SpouseID]]="","",IFERROR(INDEX(Index_of_People[Metadata Name],MATCH(Index_of_People[[#This Row],[SpouseID]],Index_of_People[NameID],0)),""))</f>
        <v/>
      </c>
      <c r="L344" s="6"/>
      <c r="M344" s="2" t="s">
        <v>490</v>
      </c>
      <c r="N344" s="2" t="s">
        <v>490</v>
      </c>
      <c r="O344" s="2" t="s">
        <v>490</v>
      </c>
      <c r="P344" t="b">
        <v>0</v>
      </c>
    </row>
    <row r="345" spans="1:16" x14ac:dyDescent="0.25">
      <c r="A345" s="6">
        <v>340</v>
      </c>
      <c r="B345" s="6" t="b">
        <v>0</v>
      </c>
      <c r="C345" t="str">
        <f>_xlfn.LET(
_xlpm.FamilyName,IF(F345="","",F345)&amp;IF(G345="",""," "&amp;G345)&amp;IF(H345="",""," "&amp;H345),
_xlpm.MarriedName,IF(F345="","",F345)&amp;IF(G345="",""," "&amp;G345)&amp;IF(I345="",""," "&amp;I345)&amp;IF(H345="",""," "&amp;"("&amp;H345)&amp;")",
TRIM(IF(Index_of_People[[#This Row],[Prefer NickName]]=TRUE,Index_of_People[[#This Row],[Nick Names]],
IF(I345&lt;&gt;"",_xlpm.MarriedName,_xlpm.FamilyName))))</f>
        <v>Tim Mitchell</v>
      </c>
      <c r="D345" t="b">
        <v>1</v>
      </c>
      <c r="F345" t="s">
        <v>220</v>
      </c>
      <c r="H345" t="s">
        <v>271</v>
      </c>
      <c r="J345"/>
      <c r="K345" t="str">
        <f>IF(Index_of_People[[#This Row],[SpouseID]]="","",IFERROR(INDEX(Index_of_People[Metadata Name],MATCH(Index_of_People[[#This Row],[SpouseID]],Index_of_People[NameID],0)),""))</f>
        <v/>
      </c>
      <c r="L345" s="6"/>
      <c r="M345" s="2" t="s">
        <v>490</v>
      </c>
      <c r="N345" s="2" t="s">
        <v>490</v>
      </c>
      <c r="O345" s="2" t="s">
        <v>490</v>
      </c>
      <c r="P345" t="b">
        <v>0</v>
      </c>
    </row>
    <row r="346" spans="1:16" x14ac:dyDescent="0.25">
      <c r="A346" s="6">
        <v>341</v>
      </c>
      <c r="B346" s="6" t="b">
        <v>0</v>
      </c>
      <c r="C346" t="str">
        <f>_xlfn.LET(
_xlpm.FamilyName,IF(F346="","",F346)&amp;IF(G346="",""," "&amp;G346)&amp;IF(H346="",""," "&amp;H346),
_xlpm.MarriedName,IF(F346="","",F346)&amp;IF(G346="",""," "&amp;G346)&amp;IF(I346="",""," "&amp;I346)&amp;IF(H346="",""," "&amp;"("&amp;H346)&amp;")",
TRIM(IF(Index_of_People[[#This Row],[Prefer NickName]]=TRUE,Index_of_People[[#This Row],[Nick Names]],
IF(I346&lt;&gt;"",_xlpm.MarriedName,_xlpm.FamilyName))))</f>
        <v>Timothy James Wardle</v>
      </c>
      <c r="D346" t="b">
        <v>1</v>
      </c>
      <c r="F346" t="s">
        <v>289</v>
      </c>
      <c r="G346" t="s">
        <v>50</v>
      </c>
      <c r="H346" t="s">
        <v>305</v>
      </c>
      <c r="J346"/>
      <c r="K346" t="str">
        <f>IF(Index_of_People[[#This Row],[SpouseID]]="","",IFERROR(INDEX(Index_of_People[Metadata Name],MATCH(Index_of_People[[#This Row],[SpouseID]],Index_of_People[NameID],0)),""))</f>
        <v/>
      </c>
      <c r="L346" s="6"/>
      <c r="M346" s="2" t="s">
        <v>490</v>
      </c>
      <c r="N346" s="2" t="s">
        <v>490</v>
      </c>
      <c r="O346" s="2" t="s">
        <v>490</v>
      </c>
      <c r="P346" t="b">
        <v>1</v>
      </c>
    </row>
    <row r="347" spans="1:16" x14ac:dyDescent="0.25">
      <c r="A347" s="6">
        <v>342</v>
      </c>
      <c r="B347" s="6" t="b">
        <v>0</v>
      </c>
      <c r="C347" t="str">
        <f>_xlfn.LET(
_xlpm.FamilyName,IF(F347="","",F347)&amp;IF(G347="",""," "&amp;G347)&amp;IF(H347="",""," "&amp;H347),
_xlpm.MarriedName,IF(F347="","",F347)&amp;IF(G347="",""," "&amp;G347)&amp;IF(I347="",""," "&amp;I347)&amp;IF(H347="",""," "&amp;"("&amp;H347)&amp;")",
TRIM(IF(Index_of_People[[#This Row],[Prefer NickName]]=TRUE,Index_of_People[[#This Row],[Nick Names]],
IF(I347&lt;&gt;"",_xlpm.MarriedName,_xlpm.FamilyName))))</f>
        <v>Tina Szgatti</v>
      </c>
      <c r="D347" t="b">
        <v>0</v>
      </c>
      <c r="F347" t="s">
        <v>221</v>
      </c>
      <c r="H347" t="s">
        <v>442</v>
      </c>
      <c r="J347"/>
      <c r="K347" t="str">
        <f>IF(Index_of_People[[#This Row],[SpouseID]]="","",IFERROR(INDEX(Index_of_People[Metadata Name],MATCH(Index_of_People[[#This Row],[SpouseID]],Index_of_People[NameID],0)),""))</f>
        <v/>
      </c>
      <c r="L347" s="6"/>
      <c r="M347" s="2" t="s">
        <v>490</v>
      </c>
      <c r="N347" s="2" t="s">
        <v>490</v>
      </c>
      <c r="O347" s="2" t="s">
        <v>490</v>
      </c>
      <c r="P347" t="b">
        <v>0</v>
      </c>
    </row>
    <row r="348" spans="1:16" x14ac:dyDescent="0.25">
      <c r="A348" s="6">
        <v>343</v>
      </c>
      <c r="B348" s="6" t="b">
        <v>0</v>
      </c>
      <c r="C348" t="str">
        <f>_xlfn.LET(
_xlpm.FamilyName,IF(F348="","",F348)&amp;IF(G348="",""," "&amp;G348)&amp;IF(H348="",""," "&amp;H348),
_xlpm.MarriedName,IF(F348="","",F348)&amp;IF(G348="",""," "&amp;G348)&amp;IF(I348="",""," "&amp;I348)&amp;IF(H348="",""," "&amp;"("&amp;H348)&amp;")",
TRIM(IF(Index_of_People[[#This Row],[Prefer NickName]]=TRUE,Index_of_People[[#This Row],[Nick Names]],
IF(I348&lt;&gt;"",_xlpm.MarriedName,_xlpm.FamilyName))))</f>
        <v>Tom Saxton</v>
      </c>
      <c r="D348" t="b">
        <v>1</v>
      </c>
      <c r="F348" t="s">
        <v>222</v>
      </c>
      <c r="H348" t="s">
        <v>443</v>
      </c>
      <c r="J348"/>
      <c r="K348" t="str">
        <f>IF(Index_of_People[[#This Row],[SpouseID]]="","",IFERROR(INDEX(Index_of_People[Metadata Name],MATCH(Index_of_People[[#This Row],[SpouseID]],Index_of_People[NameID],0)),""))</f>
        <v/>
      </c>
      <c r="L348" s="6"/>
      <c r="M348" s="2" t="s">
        <v>490</v>
      </c>
      <c r="N348" s="2" t="s">
        <v>490</v>
      </c>
      <c r="O348" s="2" t="s">
        <v>490</v>
      </c>
      <c r="P348" t="b">
        <v>0</v>
      </c>
    </row>
    <row r="349" spans="1:16" x14ac:dyDescent="0.25">
      <c r="A349" s="6">
        <v>344</v>
      </c>
      <c r="B349" s="6" t="b">
        <v>0</v>
      </c>
      <c r="C349" t="str">
        <f>_xlfn.LET(
_xlpm.FamilyName,IF(F349="","",F349)&amp;IF(G349="",""," "&amp;G349)&amp;IF(H349="",""," "&amp;H349),
_xlpm.MarriedName,IF(F349="","",F349)&amp;IF(G349="",""," "&amp;G349)&amp;IF(I349="",""," "&amp;I349)&amp;IF(H349="",""," "&amp;"("&amp;H349)&amp;")",
TRIM(IF(Index_of_People[[#This Row],[Prefer NickName]]=TRUE,Index_of_People[[#This Row],[Nick Names]],
IF(I349&lt;&gt;"",_xlpm.MarriedName,_xlpm.FamilyName))))</f>
        <v>Torri Seale</v>
      </c>
      <c r="D349" t="b">
        <v>1</v>
      </c>
      <c r="F349" t="s">
        <v>223</v>
      </c>
      <c r="H349" t="s">
        <v>444</v>
      </c>
      <c r="J349"/>
      <c r="K349" t="str">
        <f>IF(Index_of_People[[#This Row],[SpouseID]]="","",IFERROR(INDEX(Index_of_People[Metadata Name],MATCH(Index_of_People[[#This Row],[SpouseID]],Index_of_People[NameID],0)),""))</f>
        <v/>
      </c>
      <c r="L349" s="6"/>
      <c r="M349" s="2" t="s">
        <v>490</v>
      </c>
      <c r="N349" s="2" t="s">
        <v>490</v>
      </c>
      <c r="O349" s="2" t="s">
        <v>490</v>
      </c>
      <c r="P349" t="b">
        <v>0</v>
      </c>
    </row>
    <row r="350" spans="1:16" x14ac:dyDescent="0.25">
      <c r="A350" s="6">
        <v>345</v>
      </c>
      <c r="B350" s="6" t="b">
        <v>0</v>
      </c>
      <c r="C350" t="str">
        <f>_xlfn.LET(
_xlpm.FamilyName,IF(F350="","",F350)&amp;IF(G350="",""," "&amp;G350)&amp;IF(H350="",""," "&amp;H350),
_xlpm.MarriedName,IF(F350="","",F350)&amp;IF(G350="",""," "&amp;G350)&amp;IF(I350="",""," "&amp;I350)&amp;IF(H350="",""," "&amp;"("&amp;H350)&amp;")",
TRIM(IF(Index_of_People[[#This Row],[Prefer NickName]]=TRUE,Index_of_People[[#This Row],[Nick Names]],
IF(I350&lt;&gt;"",_xlpm.MarriedName,_xlpm.FamilyName))))</f>
        <v>Tracy Cartlidge</v>
      </c>
      <c r="D350" t="b">
        <v>1</v>
      </c>
      <c r="F350" t="s">
        <v>224</v>
      </c>
      <c r="G350" t="s">
        <v>490</v>
      </c>
      <c r="H350" t="s">
        <v>445</v>
      </c>
      <c r="I350" t="s">
        <v>490</v>
      </c>
      <c r="J350" t="s">
        <v>490</v>
      </c>
      <c r="K350" t="str">
        <f>IF(Index_of_People[[#This Row],[SpouseID]]="","",IFERROR(INDEX(Index_of_People[Metadata Name],MATCH(Index_of_People[[#This Row],[SpouseID]],Index_of_People[NameID],0)),""))</f>
        <v/>
      </c>
      <c r="L350" s="6"/>
      <c r="M350" s="2" t="s">
        <v>490</v>
      </c>
      <c r="N350" s="2" t="s">
        <v>490</v>
      </c>
      <c r="O350" s="2" t="s">
        <v>490</v>
      </c>
      <c r="P350" t="b">
        <v>0</v>
      </c>
    </row>
    <row r="351" spans="1:16" x14ac:dyDescent="0.25">
      <c r="A351" s="6">
        <v>346</v>
      </c>
      <c r="B351" s="6" t="b">
        <v>0</v>
      </c>
      <c r="C351" t="str">
        <f>_xlfn.LET(
_xlpm.FamilyName,IF(F351="","",F351)&amp;IF(G351="",""," "&amp;G351)&amp;IF(H351="",""," "&amp;H351),
_xlpm.MarriedName,IF(F351="","",F351)&amp;IF(G351="",""," "&amp;G351)&amp;IF(I351="",""," "&amp;I351)&amp;IF(H351="",""," "&amp;"("&amp;H351)&amp;")",
TRIM(IF(Index_of_People[[#This Row],[Prefer NickName]]=TRUE,Index_of_People[[#This Row],[Nick Names]],
IF(I351&lt;&gt;"",_xlpm.MarriedName,_xlpm.FamilyName))))</f>
        <v>Trent Glover</v>
      </c>
      <c r="D351" t="b">
        <v>1</v>
      </c>
      <c r="F351" t="s">
        <v>225</v>
      </c>
      <c r="H351" t="s">
        <v>315</v>
      </c>
      <c r="J351"/>
      <c r="K351" t="str">
        <f>IF(Index_of_People[[#This Row],[SpouseID]]="","",IFERROR(INDEX(Index_of_People[Metadata Name],MATCH(Index_of_People[[#This Row],[SpouseID]],Index_of_People[NameID],0)),""))</f>
        <v/>
      </c>
      <c r="L351" s="6"/>
      <c r="M351" s="2" t="s">
        <v>490</v>
      </c>
      <c r="N351" s="2" t="s">
        <v>490</v>
      </c>
      <c r="O351" s="2" t="s">
        <v>490</v>
      </c>
      <c r="P351" t="b">
        <v>1</v>
      </c>
    </row>
    <row r="352" spans="1:16" x14ac:dyDescent="0.25">
      <c r="A352" s="6">
        <v>347</v>
      </c>
      <c r="B352" s="6" t="b">
        <v>0</v>
      </c>
      <c r="C352" t="str">
        <f>_xlfn.LET(
_xlpm.FamilyName,IF(F352="","",F352)&amp;IF(G352="",""," "&amp;G352)&amp;IF(H352="",""," "&amp;H352),
_xlpm.MarriedName,IF(F352="","",F352)&amp;IF(G352="",""," "&amp;G352)&amp;IF(I352="",""," "&amp;I352)&amp;IF(H352="",""," "&amp;"("&amp;H352)&amp;")",
TRIM(IF(Index_of_People[[#This Row],[Prefer NickName]]=TRUE,Index_of_People[[#This Row],[Nick Names]],
IF(I352&lt;&gt;"",_xlpm.MarriedName,_xlpm.FamilyName))))</f>
        <v>Trevor</v>
      </c>
      <c r="D352" t="b">
        <v>1</v>
      </c>
      <c r="F352" t="s">
        <v>70</v>
      </c>
      <c r="J352"/>
      <c r="K352" t="str">
        <f>IF(Index_of_People[[#This Row],[SpouseID]]="","",IFERROR(INDEX(Index_of_People[Metadata Name],MATCH(Index_of_People[[#This Row],[SpouseID]],Index_of_People[NameID],0)),""))</f>
        <v/>
      </c>
      <c r="L352" s="6"/>
      <c r="M352" s="2" t="s">
        <v>490</v>
      </c>
      <c r="N352" s="2" t="s">
        <v>490</v>
      </c>
      <c r="O352" s="2" t="s">
        <v>490</v>
      </c>
      <c r="P352" t="b">
        <v>0</v>
      </c>
    </row>
    <row r="353" spans="1:16" x14ac:dyDescent="0.25">
      <c r="A353" s="6">
        <v>348</v>
      </c>
      <c r="B353" s="6" t="b">
        <v>0</v>
      </c>
      <c r="C353" t="str">
        <f>_xlfn.LET(
_xlpm.FamilyName,IF(F353="","",F353)&amp;IF(G353="",""," "&amp;G353)&amp;IF(H353="",""," "&amp;H353),
_xlpm.MarriedName,IF(F353="","",F353)&amp;IF(G353="",""," "&amp;G353)&amp;IF(I353="",""," "&amp;I353)&amp;IF(H353="",""," "&amp;"("&amp;H353)&amp;")",
TRIM(IF(Index_of_People[[#This Row],[Prefer NickName]]=TRUE,Index_of_People[[#This Row],[Nick Names]],
IF(I353&lt;&gt;"",_xlpm.MarriedName,_xlpm.FamilyName))))</f>
        <v>Tyson Glover</v>
      </c>
      <c r="D353" t="b">
        <v>1</v>
      </c>
      <c r="F353" t="s">
        <v>226</v>
      </c>
      <c r="H353" t="s">
        <v>315</v>
      </c>
      <c r="J353"/>
      <c r="K353" t="str">
        <f>IF(Index_of_People[[#This Row],[SpouseID]]="","",IFERROR(INDEX(Index_of_People[Metadata Name],MATCH(Index_of_People[[#This Row],[SpouseID]],Index_of_People[NameID],0)),""))</f>
        <v/>
      </c>
      <c r="L353" s="6"/>
      <c r="M353" s="2" t="s">
        <v>490</v>
      </c>
      <c r="N353" s="2" t="s">
        <v>490</v>
      </c>
      <c r="O353" s="2" t="s">
        <v>490</v>
      </c>
      <c r="P353" t="b">
        <v>1</v>
      </c>
    </row>
    <row r="354" spans="1:16" x14ac:dyDescent="0.25">
      <c r="A354" s="6">
        <v>349</v>
      </c>
      <c r="B354" s="6" t="b">
        <v>0</v>
      </c>
      <c r="C354" t="str">
        <f>_xlfn.LET(
_xlpm.FamilyName,IF(F354="","",F354)&amp;IF(G354="",""," "&amp;G354)&amp;IF(H354="",""," "&amp;H354),
_xlpm.MarriedName,IF(F354="","",F354)&amp;IF(G354="",""," "&amp;G354)&amp;IF(I354="",""," "&amp;I354)&amp;IF(H354="",""," "&amp;"("&amp;H354)&amp;")",
TRIM(IF(Index_of_People[[#This Row],[Prefer NickName]]=TRUE,Index_of_People[[#This Row],[Nick Names]],
IF(I354&lt;&gt;"",_xlpm.MarriedName,_xlpm.FamilyName))))</f>
        <v>Val Austin</v>
      </c>
      <c r="D354" t="b">
        <v>1</v>
      </c>
      <c r="F354" t="s">
        <v>227</v>
      </c>
      <c r="H354" t="s">
        <v>446</v>
      </c>
      <c r="J354"/>
      <c r="K354" t="str">
        <f>IF(Index_of_People[[#This Row],[SpouseID]]="","",IFERROR(INDEX(Index_of_People[Metadata Name],MATCH(Index_of_People[[#This Row],[SpouseID]],Index_of_People[NameID],0)),""))</f>
        <v/>
      </c>
      <c r="L354" s="6"/>
      <c r="M354" s="2" t="s">
        <v>490</v>
      </c>
      <c r="N354" s="2" t="s">
        <v>490</v>
      </c>
      <c r="O354" s="2" t="s">
        <v>490</v>
      </c>
      <c r="P354" t="b">
        <v>0</v>
      </c>
    </row>
    <row r="355" spans="1:16" x14ac:dyDescent="0.25">
      <c r="A355" s="6">
        <v>350</v>
      </c>
      <c r="B355" s="6" t="b">
        <v>0</v>
      </c>
      <c r="C355" t="str">
        <f>_xlfn.LET(
_xlpm.FamilyName,IF(F355="","",F355)&amp;IF(G355="",""," "&amp;G355)&amp;IF(H355="",""," "&amp;H355),
_xlpm.MarriedName,IF(F355="","",F355)&amp;IF(G355="",""," "&amp;G355)&amp;IF(I355="",""," "&amp;I355)&amp;IF(H355="",""," "&amp;"("&amp;H355)&amp;")",
TRIM(IF(Index_of_People[[#This Row],[Prefer NickName]]=TRUE,Index_of_People[[#This Row],[Nick Names]],
IF(I355&lt;&gt;"",_xlpm.MarriedName,_xlpm.FamilyName))))</f>
        <v>Val Wyatt</v>
      </c>
      <c r="D355" t="b">
        <v>1</v>
      </c>
      <c r="F355" t="s">
        <v>227</v>
      </c>
      <c r="H355" t="s">
        <v>422</v>
      </c>
      <c r="J355"/>
      <c r="K355" t="str">
        <f>IF(Index_of_People[[#This Row],[SpouseID]]="","",IFERROR(INDEX(Index_of_People[Metadata Name],MATCH(Index_of_People[[#This Row],[SpouseID]],Index_of_People[NameID],0)),""))</f>
        <v/>
      </c>
      <c r="L355" s="6"/>
      <c r="M355" s="2" t="s">
        <v>490</v>
      </c>
      <c r="N355" s="2" t="s">
        <v>490</v>
      </c>
      <c r="O355" s="2" t="s">
        <v>490</v>
      </c>
      <c r="P355" t="b">
        <v>0</v>
      </c>
    </row>
    <row r="356" spans="1:16" x14ac:dyDescent="0.25">
      <c r="A356" s="6">
        <v>351</v>
      </c>
      <c r="B356" s="6" t="b">
        <v>0</v>
      </c>
      <c r="C356" t="str">
        <f>_xlfn.LET(
_xlpm.FamilyName,IF(F356="","",F356)&amp;IF(G356="",""," "&amp;G356)&amp;IF(H356="",""," "&amp;H356),
_xlpm.MarriedName,IF(F356="","",F356)&amp;IF(G356="",""," "&amp;G356)&amp;IF(I356="",""," "&amp;I356)&amp;IF(H356="",""," "&amp;"("&amp;H356)&amp;")",
TRIM(IF(Index_of_People[[#This Row],[Prefer NickName]]=TRUE,Index_of_People[[#This Row],[Nick Names]],
IF(I356&lt;&gt;"",_xlpm.MarriedName,_xlpm.FamilyName))))</f>
        <v>Vaughn del Valle</v>
      </c>
      <c r="D356" t="b">
        <v>1</v>
      </c>
      <c r="F356" t="s">
        <v>290</v>
      </c>
      <c r="H356" t="s">
        <v>453</v>
      </c>
      <c r="J356"/>
      <c r="K356" t="str">
        <f>IF(Index_of_People[[#This Row],[SpouseID]]="","",IFERROR(INDEX(Index_of_People[Metadata Name],MATCH(Index_of_People[[#This Row],[SpouseID]],Index_of_People[NameID],0)),""))</f>
        <v>Caroline del Valle</v>
      </c>
      <c r="L356" s="6">
        <v>48</v>
      </c>
      <c r="M356" s="2" t="s">
        <v>490</v>
      </c>
      <c r="N356" s="2" t="s">
        <v>490</v>
      </c>
      <c r="O356" s="2" t="s">
        <v>490</v>
      </c>
      <c r="P356" t="b">
        <v>1</v>
      </c>
    </row>
    <row r="357" spans="1:16" x14ac:dyDescent="0.25">
      <c r="A357" s="6">
        <v>352</v>
      </c>
      <c r="B357" s="6" t="b">
        <v>0</v>
      </c>
      <c r="C357" t="str">
        <f>_xlfn.LET(
_xlpm.FamilyName,IF(F357="","",F357)&amp;IF(G357="",""," "&amp;G357)&amp;IF(H357="",""," "&amp;H357),
_xlpm.MarriedName,IF(F357="","",F357)&amp;IF(G357="",""," "&amp;G357)&amp;IF(I357="",""," "&amp;I357)&amp;IF(H357="",""," "&amp;"("&amp;H357)&amp;")",
TRIM(IF(Index_of_People[[#This Row],[Prefer NickName]]=TRUE,Index_of_People[[#This Row],[Nick Names]],
IF(I357&lt;&gt;"",_xlpm.MarriedName,_xlpm.FamilyName))))</f>
        <v>Vic Anderson</v>
      </c>
      <c r="D357" t="b">
        <v>1</v>
      </c>
      <c r="F357" t="s">
        <v>228</v>
      </c>
      <c r="G357" t="s">
        <v>490</v>
      </c>
      <c r="H357" t="s">
        <v>447</v>
      </c>
      <c r="I357" t="s">
        <v>490</v>
      </c>
      <c r="J357" t="s">
        <v>490</v>
      </c>
      <c r="K357" t="str">
        <f>IF(Index_of_People[[#This Row],[SpouseID]]="","",IFERROR(INDEX(Index_of_People[Metadata Name],MATCH(Index_of_People[[#This Row],[SpouseID]],Index_of_People[NameID],0)),""))</f>
        <v/>
      </c>
      <c r="L357" s="6"/>
      <c r="M357" s="2" t="s">
        <v>490</v>
      </c>
      <c r="N357" s="2" t="s">
        <v>490</v>
      </c>
      <c r="O357" s="2" t="s">
        <v>490</v>
      </c>
      <c r="P357" t="b">
        <v>0</v>
      </c>
    </row>
    <row r="358" spans="1:16" x14ac:dyDescent="0.25">
      <c r="A358" s="6">
        <v>353</v>
      </c>
      <c r="B358" s="6" t="b">
        <v>0</v>
      </c>
      <c r="C358" t="str">
        <f>_xlfn.LET(
_xlpm.FamilyName,IF(F358="","",F358)&amp;IF(G358="",""," "&amp;G358)&amp;IF(H358="",""," "&amp;H358),
_xlpm.MarriedName,IF(F358="","",F358)&amp;IF(G358="",""," "&amp;G358)&amp;IF(I358="",""," "&amp;I358)&amp;IF(H358="",""," "&amp;"("&amp;H358)&amp;")",
TRIM(IF(Index_of_People[[#This Row],[Prefer NickName]]=TRUE,Index_of_People[[#This Row],[Nick Names]],
IF(I358&lt;&gt;"",_xlpm.MarriedName,_xlpm.FamilyName))))</f>
        <v>Victor Njume</v>
      </c>
      <c r="D358" t="b">
        <v>1</v>
      </c>
      <c r="F358" t="s">
        <v>229</v>
      </c>
      <c r="H358" t="s">
        <v>298</v>
      </c>
      <c r="J358"/>
      <c r="K358" t="str">
        <f>IF(Index_of_People[[#This Row],[SpouseID]]="","",IFERROR(INDEX(Index_of_People[Metadata Name],MATCH(Index_of_People[[#This Row],[SpouseID]],Index_of_People[NameID],0)),""))</f>
        <v/>
      </c>
      <c r="L358" s="6"/>
      <c r="M358" s="2" t="s">
        <v>490</v>
      </c>
      <c r="N358" s="2" t="s">
        <v>490</v>
      </c>
      <c r="O358" s="2" t="s">
        <v>490</v>
      </c>
      <c r="P358" t="b">
        <v>0</v>
      </c>
    </row>
    <row r="359" spans="1:16" x14ac:dyDescent="0.25">
      <c r="A359" s="6">
        <v>354</v>
      </c>
      <c r="B359" s="6" t="b">
        <v>0</v>
      </c>
      <c r="C359" t="str">
        <f>_xlfn.LET(
_xlpm.FamilyName,IF(F359="","",F359)&amp;IF(G359="",""," "&amp;G359)&amp;IF(H359="",""," "&amp;H359),
_xlpm.MarriedName,IF(F359="","",F359)&amp;IF(G359="",""," "&amp;G359)&amp;IF(I359="",""," "&amp;I359)&amp;IF(H359="",""," "&amp;"("&amp;H359)&amp;")",
TRIM(IF(Index_of_People[[#This Row],[Prefer NickName]]=TRUE,Index_of_People[[#This Row],[Nick Names]],
IF(I359&lt;&gt;"",_xlpm.MarriedName,_xlpm.FamilyName))))</f>
        <v>Victor Underwood</v>
      </c>
      <c r="D359" t="b">
        <v>1</v>
      </c>
      <c r="F359" t="s">
        <v>229</v>
      </c>
      <c r="H359" t="s">
        <v>448</v>
      </c>
      <c r="J359"/>
      <c r="K359" t="str">
        <f>IF(Index_of_People[[#This Row],[SpouseID]]="","",IFERROR(INDEX(Index_of_People[Metadata Name],MATCH(Index_of_People[[#This Row],[SpouseID]],Index_of_People[NameID],0)),""))</f>
        <v/>
      </c>
      <c r="L359" s="6"/>
      <c r="M359" s="2" t="s">
        <v>490</v>
      </c>
      <c r="N359" s="2" t="s">
        <v>490</v>
      </c>
      <c r="O359" s="2" t="s">
        <v>490</v>
      </c>
      <c r="P359" t="b">
        <v>0</v>
      </c>
    </row>
    <row r="360" spans="1:16" x14ac:dyDescent="0.25">
      <c r="A360" s="6">
        <v>355</v>
      </c>
      <c r="B360" s="6" t="b">
        <v>0</v>
      </c>
      <c r="C360" t="str">
        <f>_xlfn.LET(
_xlpm.FamilyName,IF(F360="","",F360)&amp;IF(G360="",""," "&amp;G360)&amp;IF(H360="",""," "&amp;H360),
_xlpm.MarriedName,IF(F360="","",F360)&amp;IF(G360="",""," "&amp;G360)&amp;IF(I360="",""," "&amp;I360)&amp;IF(H360="",""," "&amp;"("&amp;H360)&amp;")",
TRIM(IF(Index_of_People[[#This Row],[Prefer NickName]]=TRUE,Index_of_People[[#This Row],[Nick Names]],
IF(I360&lt;&gt;"",_xlpm.MarriedName,_xlpm.FamilyName))))</f>
        <v>Violet Louise Pearce (Carey)</v>
      </c>
      <c r="D360" t="b">
        <v>1</v>
      </c>
      <c r="F360" t="s">
        <v>291</v>
      </c>
      <c r="G360" t="s">
        <v>171</v>
      </c>
      <c r="H360" t="s">
        <v>320</v>
      </c>
      <c r="I360" t="s">
        <v>449</v>
      </c>
      <c r="J360"/>
      <c r="K360" t="str">
        <f>IF(Index_of_People[[#This Row],[SpouseID]]="","",IFERROR(INDEX(Index_of_People[Metadata Name],MATCH(Index_of_People[[#This Row],[SpouseID]],Index_of_People[NameID],0)),""))</f>
        <v/>
      </c>
      <c r="L360" s="6"/>
      <c r="M360" s="2" t="s">
        <v>1217</v>
      </c>
      <c r="N360" s="2" t="s">
        <v>490</v>
      </c>
      <c r="O360" s="2">
        <v>22638</v>
      </c>
      <c r="P360" t="b">
        <v>1</v>
      </c>
    </row>
    <row r="361" spans="1:16" x14ac:dyDescent="0.25">
      <c r="A361" s="6">
        <v>356</v>
      </c>
      <c r="B361" s="6" t="b">
        <v>0</v>
      </c>
      <c r="C361" t="str">
        <f>_xlfn.LET(
_xlpm.FamilyName,IF(F361="","",F361)&amp;IF(G361="",""," "&amp;G361)&amp;IF(H361="",""," "&amp;H361),
_xlpm.MarriedName,IF(F361="","",F361)&amp;IF(G361="",""," "&amp;G361)&amp;IF(I361="",""," "&amp;I361)&amp;IF(H361="",""," "&amp;"("&amp;H361)&amp;")",
TRIM(IF(Index_of_People[[#This Row],[Prefer NickName]]=TRUE,Index_of_People[[#This Row],[Nick Names]],
IF(I361&lt;&gt;"",_xlpm.MarriedName,_xlpm.FamilyName))))</f>
        <v>Wayne William Norris</v>
      </c>
      <c r="D361" t="b">
        <v>1</v>
      </c>
      <c r="F361" t="s">
        <v>230</v>
      </c>
      <c r="G361" t="s">
        <v>233</v>
      </c>
      <c r="H361" t="s">
        <v>326</v>
      </c>
      <c r="J361"/>
      <c r="K361" t="str">
        <f>IF(Index_of_People[[#This Row],[SpouseID]]="","",IFERROR(INDEX(Index_of_People[Metadata Name],MATCH(Index_of_People[[#This Row],[SpouseID]],Index_of_People[NameID],0)),""))</f>
        <v>Patrica Lynne Norris (Barker)</v>
      </c>
      <c r="L361" s="6">
        <v>260</v>
      </c>
      <c r="M361" s="2">
        <v>18268</v>
      </c>
      <c r="N361" s="2">
        <v>25354</v>
      </c>
      <c r="O361" s="2">
        <v>37612</v>
      </c>
      <c r="P361" t="b">
        <v>1</v>
      </c>
    </row>
    <row r="362" spans="1:16" x14ac:dyDescent="0.25">
      <c r="A362" s="6">
        <v>357</v>
      </c>
      <c r="B362" s="6" t="b">
        <v>0</v>
      </c>
      <c r="C362" t="str">
        <f>_xlfn.LET(
_xlpm.FamilyName,IF(F362="","",F362)&amp;IF(G362="",""," "&amp;G362)&amp;IF(H362="",""," "&amp;H362),
_xlpm.MarriedName,IF(F362="","",F362)&amp;IF(G362="",""," "&amp;G362)&amp;IF(I362="",""," "&amp;I362)&amp;IF(H362="",""," "&amp;"("&amp;H362)&amp;")",
TRIM(IF(Index_of_People[[#This Row],[Prefer NickName]]=TRUE,Index_of_People[[#This Row],[Nick Names]],
IF(I362&lt;&gt;"",_xlpm.MarriedName,_xlpm.FamilyName))))</f>
        <v>Wayne Yee</v>
      </c>
      <c r="D362" t="b">
        <v>1</v>
      </c>
      <c r="F362" t="s">
        <v>230</v>
      </c>
      <c r="H362" t="s">
        <v>450</v>
      </c>
      <c r="J362"/>
      <c r="K362" t="str">
        <f>IF(Index_of_People[[#This Row],[SpouseID]]="","",IFERROR(INDEX(Index_of_People[Metadata Name],MATCH(Index_of_People[[#This Row],[SpouseID]],Index_of_People[NameID],0)),""))</f>
        <v/>
      </c>
      <c r="L362" s="6"/>
      <c r="M362" s="2" t="s">
        <v>490</v>
      </c>
      <c r="N362" s="2" t="s">
        <v>490</v>
      </c>
      <c r="O362" s="2" t="s">
        <v>490</v>
      </c>
      <c r="P362" t="b">
        <v>0</v>
      </c>
    </row>
    <row r="363" spans="1:16" x14ac:dyDescent="0.25">
      <c r="A363" s="6">
        <v>358</v>
      </c>
      <c r="B363" s="6" t="b">
        <v>0</v>
      </c>
      <c r="C363" t="str">
        <f>_xlfn.LET(
_xlpm.FamilyName,IF(F363="","",F363)&amp;IF(G363="",""," "&amp;G363)&amp;IF(H363="",""," "&amp;H363),
_xlpm.MarriedName,IF(F363="","",F363)&amp;IF(G363="",""," "&amp;G363)&amp;IF(I363="",""," "&amp;I363)&amp;IF(H363="",""," "&amp;"("&amp;H363)&amp;")",
TRIM(IF(Index_of_People[[#This Row],[Prefer NickName]]=TRUE,Index_of_People[[#This Row],[Nick Names]],
IF(I363&lt;&gt;"",_xlpm.MarriedName,_xlpm.FamilyName))))</f>
        <v>Wendy Topic</v>
      </c>
      <c r="D363" t="b">
        <v>1</v>
      </c>
      <c r="F363" t="s">
        <v>231</v>
      </c>
      <c r="H363" t="s">
        <v>364</v>
      </c>
      <c r="J363"/>
      <c r="K363" t="str">
        <f>IF(Index_of_People[[#This Row],[SpouseID]]="","",IFERROR(INDEX(Index_of_People[Metadata Name],MATCH(Index_of_People[[#This Row],[SpouseID]],Index_of_People[NameID],0)),""))</f>
        <v/>
      </c>
      <c r="L363" s="6"/>
      <c r="M363" s="2" t="s">
        <v>490</v>
      </c>
      <c r="N363" s="2" t="s">
        <v>490</v>
      </c>
      <c r="O363" s="2" t="s">
        <v>490</v>
      </c>
      <c r="P363" t="b">
        <v>0</v>
      </c>
    </row>
    <row r="364" spans="1:16" x14ac:dyDescent="0.25">
      <c r="A364" s="6">
        <v>359</v>
      </c>
      <c r="B364" s="6" t="b">
        <v>0</v>
      </c>
      <c r="C364" t="str">
        <f>_xlfn.LET(
_xlpm.FamilyName,IF(F364="","",F364)&amp;IF(G364="",""," "&amp;G364)&amp;IF(H364="",""," "&amp;H364),
_xlpm.MarriedName,IF(F364="","",F364)&amp;IF(G364="",""," "&amp;G364)&amp;IF(I364="",""," "&amp;I364)&amp;IF(H364="",""," "&amp;"("&amp;H364)&amp;")",
TRIM(IF(Index_of_People[[#This Row],[Prefer NickName]]=TRUE,Index_of_People[[#This Row],[Nick Names]],
IF(I364&lt;&gt;"",_xlpm.MarriedName,_xlpm.FamilyName))))</f>
        <v>Wes</v>
      </c>
      <c r="D364" t="b">
        <v>0</v>
      </c>
      <c r="F364" t="s">
        <v>71</v>
      </c>
      <c r="J364"/>
      <c r="K364" t="str">
        <f>IF(Index_of_People[[#This Row],[SpouseID]]="","",IFERROR(INDEX(Index_of_People[Metadata Name],MATCH(Index_of_People[[#This Row],[SpouseID]],Index_of_People[NameID],0)),""))</f>
        <v/>
      </c>
      <c r="L364" s="6"/>
      <c r="M364" s="2" t="s">
        <v>490</v>
      </c>
      <c r="N364" s="2" t="s">
        <v>490</v>
      </c>
      <c r="O364" s="2" t="s">
        <v>490</v>
      </c>
      <c r="P364" t="b">
        <v>0</v>
      </c>
    </row>
    <row r="365" spans="1:16" x14ac:dyDescent="0.25">
      <c r="A365" s="6">
        <v>360</v>
      </c>
      <c r="B365" s="6" t="b">
        <v>0</v>
      </c>
      <c r="C365" t="str">
        <f>_xlfn.LET(
_xlpm.FamilyName,IF(F365="","",F365)&amp;IF(G365="",""," "&amp;G365)&amp;IF(H365="",""," "&amp;H365),
_xlpm.MarriedName,IF(F365="","",F365)&amp;IF(G365="",""," "&amp;G365)&amp;IF(I365="",""," "&amp;I365)&amp;IF(H365="",""," "&amp;"("&amp;H365)&amp;")",
TRIM(IF(Index_of_People[[#This Row],[Prefer NickName]]=TRUE,Index_of_People[[#This Row],[Nick Names]],
IF(I365&lt;&gt;"",_xlpm.MarriedName,_xlpm.FamilyName))))</f>
        <v>Wilbur Schumaker</v>
      </c>
      <c r="D365" t="b">
        <v>1</v>
      </c>
      <c r="F365" t="s">
        <v>232</v>
      </c>
      <c r="H365" t="s">
        <v>342</v>
      </c>
      <c r="J365"/>
      <c r="K365" t="str">
        <f>IF(Index_of_People[[#This Row],[SpouseID]]="","",IFERROR(INDEX(Index_of_People[Metadata Name],MATCH(Index_of_People[[#This Row],[SpouseID]],Index_of_People[NameID],0)),""))</f>
        <v/>
      </c>
      <c r="L365" s="6"/>
      <c r="M365" s="2" t="s">
        <v>490</v>
      </c>
      <c r="N365" s="2" t="s">
        <v>490</v>
      </c>
      <c r="O365" s="2" t="s">
        <v>490</v>
      </c>
      <c r="P365" t="b">
        <v>0</v>
      </c>
    </row>
    <row r="366" spans="1:16" x14ac:dyDescent="0.25">
      <c r="A366" s="6">
        <v>361</v>
      </c>
      <c r="B366" s="6" t="b">
        <v>0</v>
      </c>
      <c r="C366" t="str">
        <f>_xlfn.LET(
_xlpm.FamilyName,IF(F366="","",F366)&amp;IF(G366="",""," "&amp;G366)&amp;IF(H366="",""," "&amp;H366),
_xlpm.MarriedName,IF(F366="","",F366)&amp;IF(G366="",""," "&amp;G366)&amp;IF(I366="",""," "&amp;I366)&amp;IF(H366="",""," "&amp;"("&amp;H366)&amp;")",
TRIM(IF(Index_of_People[[#This Row],[Prefer NickName]]=TRUE,Index_of_People[[#This Row],[Nick Names]],
IF(I366&lt;&gt;"",_xlpm.MarriedName,_xlpm.FamilyName))))</f>
        <v>Winnie</v>
      </c>
      <c r="D366" t="b">
        <v>0</v>
      </c>
      <c r="F366" t="s">
        <v>72</v>
      </c>
      <c r="J366"/>
      <c r="K366" t="str">
        <f>IF(Index_of_People[[#This Row],[SpouseID]]="","",IFERROR(INDEX(Index_of_People[Metadata Name],MATCH(Index_of_People[[#This Row],[SpouseID]],Index_of_People[NameID],0)),""))</f>
        <v/>
      </c>
      <c r="L366" s="6"/>
      <c r="M366" s="2" t="s">
        <v>490</v>
      </c>
      <c r="N366" s="2" t="s">
        <v>490</v>
      </c>
      <c r="O366" s="2" t="s">
        <v>490</v>
      </c>
      <c r="P366" t="b">
        <v>0</v>
      </c>
    </row>
    <row r="367" spans="1:16" x14ac:dyDescent="0.25">
      <c r="A367" s="6">
        <v>362</v>
      </c>
      <c r="B367" s="6" t="b">
        <v>0</v>
      </c>
      <c r="C367" t="str">
        <f>_xlfn.LET(
_xlpm.FamilyName,IF(F367="","",F367)&amp;IF(G367="",""," "&amp;G367)&amp;IF(H367="",""," "&amp;H367),
_xlpm.MarriedName,IF(F367="","",F367)&amp;IF(G367="",""," "&amp;G367)&amp;IF(I367="",""," "&amp;I367)&amp;IF(H367="",""," "&amp;"("&amp;H367)&amp;")",
TRIM(IF(Index_of_People[[#This Row],[Prefer NickName]]=TRUE,Index_of_People[[#This Row],[Nick Names]],
IF(I367&lt;&gt;"",_xlpm.MarriedName,_xlpm.FamilyName))))</f>
        <v>Young</v>
      </c>
      <c r="D367" t="b">
        <v>0</v>
      </c>
      <c r="E367" t="s">
        <v>185</v>
      </c>
      <c r="H367" t="s">
        <v>406</v>
      </c>
      <c r="J367"/>
      <c r="K367" t="str">
        <f>IF(Index_of_People[[#This Row],[SpouseID]]="","",IFERROR(INDEX(Index_of_People[Metadata Name],MATCH(Index_of_People[[#This Row],[SpouseID]],Index_of_People[NameID],0)),""))</f>
        <v/>
      </c>
      <c r="L367" s="6"/>
      <c r="M367" s="2" t="s">
        <v>490</v>
      </c>
      <c r="N367" s="2" t="s">
        <v>490</v>
      </c>
      <c r="O367" s="2" t="s">
        <v>490</v>
      </c>
      <c r="P367" t="b">
        <v>0</v>
      </c>
    </row>
    <row r="368" spans="1:16" x14ac:dyDescent="0.25">
      <c r="A368" s="6">
        <v>363</v>
      </c>
      <c r="B368" s="6" t="b">
        <v>0</v>
      </c>
      <c r="C368" s="12" t="str">
        <f>_xlfn.LET(
_xlpm.FamilyName,IF(F368="","",F368)&amp;IF(G368="",""," "&amp;G368)&amp;IF(H368="",""," "&amp;H368),
_xlpm.MarriedName,IF(F368="","",F368)&amp;IF(G368="",""," "&amp;G368)&amp;IF(I368="",""," "&amp;I368)&amp;IF(H368="",""," "&amp;"("&amp;H368)&amp;")",
TRIM(IF(Index_of_People[[#This Row],[Prefer NickName]]=TRUE,Index_of_People[[#This Row],[Nick Names]],
IF(I368&lt;&gt;"",_xlpm.MarriedName,_xlpm.FamilyName))))</f>
        <v>Harold Leslie Carey</v>
      </c>
      <c r="D368" s="12"/>
      <c r="F368" t="s">
        <v>1546</v>
      </c>
      <c r="G368" t="s">
        <v>165</v>
      </c>
      <c r="H368" t="s">
        <v>320</v>
      </c>
      <c r="K368" s="12" t="str">
        <f>IF(Index_of_People[[#This Row],[SpouseID]]="","",IFERROR(INDEX(Index_of_People[Metadata Name],MATCH(Index_of_People[[#This Row],[SpouseID]],Index_of_People[NameID],0)),""))</f>
        <v>Doris Vivienne Currie</v>
      </c>
      <c r="L368" s="6">
        <v>364</v>
      </c>
      <c r="M368" s="2">
        <v>4978</v>
      </c>
      <c r="N368" s="2">
        <v>13397</v>
      </c>
      <c r="O368" s="2">
        <v>36305</v>
      </c>
      <c r="P368" t="b">
        <v>1</v>
      </c>
    </row>
    <row r="369" spans="1:16" x14ac:dyDescent="0.25">
      <c r="A369" s="6">
        <v>364</v>
      </c>
      <c r="B369" s="6" t="b">
        <v>0</v>
      </c>
      <c r="C369" s="12" t="str">
        <f>_xlfn.LET(
_xlpm.FamilyName,IF(F369="","",F369)&amp;IF(G369="",""," "&amp;G369)&amp;IF(H369="",""," "&amp;H369),
_xlpm.MarriedName,IF(F369="","",F369)&amp;IF(G369="",""," "&amp;G369)&amp;IF(I369="",""," "&amp;I369)&amp;IF(H369="",""," "&amp;"("&amp;H369)&amp;")",
TRIM(IF(Index_of_People[[#This Row],[Prefer NickName]]=TRUE,Index_of_People[[#This Row],[Nick Names]],
IF(I369&lt;&gt;"",_xlpm.MarriedName,_xlpm.FamilyName))))</f>
        <v>Doris Vivienne Currie</v>
      </c>
      <c r="D369" s="12"/>
      <c r="F369" t="s">
        <v>1547</v>
      </c>
      <c r="G369" t="s">
        <v>1548</v>
      </c>
      <c r="H369" t="s">
        <v>1549</v>
      </c>
      <c r="K369" s="12" t="str">
        <f>IF(Index_of_People[[#This Row],[SpouseID]]="","",IFERROR(INDEX(Index_of_People[Metadata Name],MATCH(Index_of_People[[#This Row],[SpouseID]],Index_of_People[NameID],0)),""))</f>
        <v>Harold Leslie Carey</v>
      </c>
      <c r="L369" s="6">
        <v>363</v>
      </c>
      <c r="M369" s="2">
        <v>5608</v>
      </c>
      <c r="N369" s="2">
        <v>13397</v>
      </c>
      <c r="O369" s="2">
        <v>28495</v>
      </c>
      <c r="P369" t="b">
        <v>1</v>
      </c>
    </row>
    <row r="370" spans="1:16" x14ac:dyDescent="0.25">
      <c r="A370" s="6">
        <f>A369+1</f>
        <v>365</v>
      </c>
      <c r="B370" s="6" t="b">
        <v>0</v>
      </c>
      <c r="C370" s="12" t="str">
        <f>_xlfn.LET(
_xlpm.FamilyName,IF(F370="","",F370)&amp;IF(G370="",""," "&amp;G370)&amp;IF(H370="",""," "&amp;H370),
_xlpm.MarriedName,IF(F370="","",F370)&amp;IF(G370="",""," "&amp;G370)&amp;IF(I370="",""," "&amp;I370)&amp;IF(H370="",""," "&amp;"("&amp;H370)&amp;")",
TRIM(IF(Index_of_People[[#This Row],[Prefer NickName]]=TRUE,Index_of_People[[#This Row],[Nick Names]],
IF(I370&lt;&gt;"",_xlpm.MarriedName,_xlpm.FamilyName))))</f>
        <v>Rosa Catherine Carey (Morford)</v>
      </c>
      <c r="D370" s="12"/>
      <c r="F370" t="s">
        <v>281</v>
      </c>
      <c r="G370" t="s">
        <v>93</v>
      </c>
      <c r="H370" t="s">
        <v>340</v>
      </c>
      <c r="I370" t="s">
        <v>320</v>
      </c>
      <c r="K370" s="12" t="str">
        <f>IF(Index_of_People[[#This Row],[SpouseID]]="","",IFERROR(INDEX(Index_of_People[Metadata Name],MATCH(Index_of_People[[#This Row],[SpouseID]],Index_of_People[NameID],0)),""))</f>
        <v>Ernest Alfred Morford</v>
      </c>
      <c r="L370" s="6">
        <v>366</v>
      </c>
      <c r="M370" s="2">
        <v>5894</v>
      </c>
      <c r="O370" s="2">
        <v>28981</v>
      </c>
      <c r="P370" t="b">
        <v>1</v>
      </c>
    </row>
    <row r="371" spans="1:16" x14ac:dyDescent="0.25">
      <c r="A371">
        <v>366</v>
      </c>
      <c r="B371" s="6" t="b">
        <v>0</v>
      </c>
      <c r="C371" s="12" t="str">
        <f>_xlfn.LET(
_xlpm.FamilyName,IF(F371="","",F371)&amp;IF(G371="",""," "&amp;G371)&amp;IF(H371="",""," "&amp;H371),
_xlpm.MarriedName,IF(F371="","",F371)&amp;IF(G371="",""," "&amp;G371)&amp;IF(I371="",""," "&amp;I371)&amp;IF(H371="",""," "&amp;"("&amp;H371)&amp;")",
TRIM(IF(Index_of_People[[#This Row],[Prefer NickName]]=TRUE,Index_of_People[[#This Row],[Nick Names]],
IF(I371&lt;&gt;"",_xlpm.MarriedName,_xlpm.FamilyName))))</f>
        <v>Ernest Alfred Morford</v>
      </c>
      <c r="D371" s="12"/>
      <c r="F371" t="s">
        <v>294</v>
      </c>
      <c r="G371" t="s">
        <v>1550</v>
      </c>
      <c r="H371" t="s">
        <v>340</v>
      </c>
      <c r="K371" s="12" t="str">
        <f>IF(Index_of_People[[#This Row],[SpouseID]]="","",IFERROR(INDEX(Index_of_People[Metadata Name],MATCH(Index_of_People[[#This Row],[SpouseID]],Index_of_People[NameID],0)),""))</f>
        <v>Rosa Catherine Carey (Morford)</v>
      </c>
      <c r="L371" s="6">
        <v>365</v>
      </c>
      <c r="M371" s="2">
        <v>6204</v>
      </c>
      <c r="O371" s="2">
        <v>40176</v>
      </c>
      <c r="P371" t="b">
        <v>1</v>
      </c>
    </row>
    <row r="372" spans="1:16" x14ac:dyDescent="0.25">
      <c r="A372" s="6">
        <v>367</v>
      </c>
      <c r="B372" s="6" t="b">
        <v>0</v>
      </c>
      <c r="C372" s="12" t="str">
        <f>_xlfn.LET(
_xlpm.FamilyName,IF(F372="","",F372)&amp;IF(G372="",""," "&amp;G372)&amp;IF(H372="",""," "&amp;H372),
_xlpm.MarriedName,IF(F372="","",F372)&amp;IF(G372="",""," "&amp;G372)&amp;IF(I372="",""," "&amp;I372)&amp;IF(H372="",""," "&amp;"("&amp;H372)&amp;")",
TRIM(IF(Index_of_People[[#This Row],[Prefer NickName]]=TRUE,Index_of_People[[#This Row],[Nick Names]],
IF(I372&lt;&gt;"",_xlpm.MarriedName,_xlpm.FamilyName))))</f>
        <v>Bonnie Ovans (Carey)</v>
      </c>
      <c r="D372" s="12"/>
      <c r="F372" t="s">
        <v>43</v>
      </c>
      <c r="H372" t="s">
        <v>320</v>
      </c>
      <c r="I372" t="s">
        <v>1552</v>
      </c>
      <c r="K372" s="12" t="str">
        <f>IF(Index_of_People[[#This Row],[SpouseID]]="","",IFERROR(INDEX(Index_of_People[Metadata Name],MATCH(Index_of_People[[#This Row],[SpouseID]],Index_of_People[NameID],0)),""))</f>
        <v>David Ovans</v>
      </c>
      <c r="L372" s="6">
        <v>368</v>
      </c>
      <c r="P372" t="b">
        <v>1</v>
      </c>
    </row>
    <row r="373" spans="1:16" x14ac:dyDescent="0.25">
      <c r="A373" s="6">
        <v>368</v>
      </c>
      <c r="B373" s="6" t="b">
        <v>0</v>
      </c>
      <c r="C373" s="12" t="str">
        <f>_xlfn.LET(
_xlpm.FamilyName,IF(F373="","",F373)&amp;IF(G373="",""," "&amp;G373)&amp;IF(H373="",""," "&amp;H373),
_xlpm.MarriedName,IF(F373="","",F373)&amp;IF(G373="",""," "&amp;G373)&amp;IF(I373="",""," "&amp;I373)&amp;IF(H373="",""," "&amp;"("&amp;H373)&amp;")",
TRIM(IF(Index_of_People[[#This Row],[Prefer NickName]]=TRUE,Index_of_People[[#This Row],[Nick Names]],
IF(I373&lt;&gt;"",_xlpm.MarriedName,_xlpm.FamilyName))))</f>
        <v>David Ovans</v>
      </c>
      <c r="D373" s="12"/>
      <c r="F373" t="s">
        <v>106</v>
      </c>
      <c r="H373" t="s">
        <v>1552</v>
      </c>
      <c r="K373" s="12" t="str">
        <f>IF(Index_of_People[[#This Row],[SpouseID]]="","",IFERROR(INDEX(Index_of_People[Metadata Name],MATCH(Index_of_People[[#This Row],[SpouseID]],Index_of_People[NameID],0)),""))</f>
        <v>Bonnie Ovans (Carey)</v>
      </c>
      <c r="L373" s="6">
        <v>367</v>
      </c>
      <c r="P373" t="b">
        <v>1</v>
      </c>
    </row>
    <row r="374" spans="1:16" x14ac:dyDescent="0.25">
      <c r="A374" s="6">
        <v>369</v>
      </c>
      <c r="B374" s="6" t="b">
        <v>0</v>
      </c>
      <c r="C374" s="12" t="str">
        <f>_xlfn.LET(
_xlpm.FamilyName,IF(F374="","",F374)&amp;IF(G374="",""," "&amp;G374)&amp;IF(H374="",""," "&amp;H374),
_xlpm.MarriedName,IF(F374="","",F374)&amp;IF(G374="",""," "&amp;G374)&amp;IF(I374="",""," "&amp;I374)&amp;IF(H374="",""," "&amp;"("&amp;H374)&amp;")",
TRIM(IF(Index_of_People[[#This Row],[Prefer NickName]]=TRUE,Index_of_People[[#This Row],[Nick Names]],
IF(I374&lt;&gt;"",_xlpm.MarriedName,_xlpm.FamilyName))))</f>
        <v>Peggy Sheaton (Carey)</v>
      </c>
      <c r="D374" s="12"/>
      <c r="F374" t="s">
        <v>1553</v>
      </c>
      <c r="H374" t="s">
        <v>320</v>
      </c>
      <c r="I374" t="s">
        <v>1554</v>
      </c>
      <c r="K374" s="12" t="str">
        <f>IF(Index_of_People[[#This Row],[SpouseID]]="","",IFERROR(INDEX(Index_of_People[Metadata Name],MATCH(Index_of_People[[#This Row],[SpouseID]],Index_of_People[NameID],0)),""))</f>
        <v/>
      </c>
      <c r="L374" s="6"/>
      <c r="P374" t="b">
        <v>1</v>
      </c>
    </row>
    <row r="375" spans="1:16" x14ac:dyDescent="0.25">
      <c r="A375" s="6">
        <f>A374+1</f>
        <v>370</v>
      </c>
      <c r="B375" s="6" t="b">
        <v>0</v>
      </c>
      <c r="C375" s="12" t="str">
        <f>_xlfn.LET(
_xlpm.FamilyName,IF(F375="","",F375)&amp;IF(G375="",""," "&amp;G375)&amp;IF(H375="",""," "&amp;H375),
_xlpm.MarriedName,IF(F375="","",F375)&amp;IF(G375="",""," "&amp;G375)&amp;IF(I375="",""," "&amp;I375)&amp;IF(H375="",""," "&amp;"("&amp;H375)&amp;")",
TRIM(IF(Index_of_People[[#This Row],[Prefer NickName]]=TRUE,Index_of_People[[#This Row],[Nick Names]],
IF(I375&lt;&gt;"",_xlpm.MarriedName,_xlpm.FamilyName))))</f>
        <v>Doris Currie (Carey)</v>
      </c>
      <c r="D375" s="12"/>
      <c r="F375" t="s">
        <v>1547</v>
      </c>
      <c r="H375" t="s">
        <v>320</v>
      </c>
      <c r="I375" t="s">
        <v>1549</v>
      </c>
      <c r="K375" s="12" t="str">
        <f>IF(Index_of_People[[#This Row],[SpouseID]]="","",IFERROR(INDEX(Index_of_People[Metadata Name],MATCH(Index_of_People[[#This Row],[SpouseID]],Index_of_People[NameID],0)),""))</f>
        <v/>
      </c>
      <c r="L375" s="6"/>
      <c r="P375" t="b">
        <v>1</v>
      </c>
    </row>
    <row r="376" spans="1:16" x14ac:dyDescent="0.25">
      <c r="A376" s="6">
        <f t="shared" ref="A376:A379" si="0">A375+1</f>
        <v>371</v>
      </c>
      <c r="B376" s="6" t="b">
        <v>0</v>
      </c>
      <c r="C376" s="12" t="str">
        <f>_xlfn.LET(
_xlpm.FamilyName,IF(F376="","",F376)&amp;IF(G376="",""," "&amp;G376)&amp;IF(H376="",""," "&amp;H376),
_xlpm.MarriedName,IF(F376="","",F376)&amp;IF(G376="",""," "&amp;G376)&amp;IF(I376="",""," "&amp;I376)&amp;IF(H376="",""," "&amp;"("&amp;H376)&amp;")",
TRIM(IF(Index_of_People[[#This Row],[Prefer NickName]]=TRUE,Index_of_People[[#This Row],[Nick Names]],
IF(I376&lt;&gt;"",_xlpm.MarriedName,_xlpm.FamilyName))))</f>
        <v>Judy Morford</v>
      </c>
      <c r="D376" s="12"/>
      <c r="F376" t="s">
        <v>149</v>
      </c>
      <c r="H376" t="s">
        <v>340</v>
      </c>
      <c r="K376" s="12" t="str">
        <f>IF(Index_of_People[[#This Row],[SpouseID]]="","",IFERROR(INDEX(Index_of_People[Metadata Name],MATCH(Index_of_People[[#This Row],[SpouseID]],Index_of_People[NameID],0)),""))</f>
        <v/>
      </c>
      <c r="L376" s="6"/>
      <c r="P376" t="b">
        <v>1</v>
      </c>
    </row>
    <row r="377" spans="1:16" x14ac:dyDescent="0.25">
      <c r="A377" s="6">
        <f t="shared" si="0"/>
        <v>372</v>
      </c>
      <c r="B377" s="6" t="b">
        <v>1</v>
      </c>
      <c r="C377" s="12" t="str">
        <f>_xlfn.LET(
_xlpm.FamilyName,IF(F377="","",F377)&amp;IF(G377="",""," "&amp;G377)&amp;IF(H377="",""," "&amp;H377),
_xlpm.MarriedName,IF(F377="","",F377)&amp;IF(G377="",""," "&amp;G377)&amp;IF(I377="",""," "&amp;I377)&amp;IF(H377="",""," "&amp;"("&amp;H377)&amp;")",
TRIM(IF(Index_of_People[[#This Row],[Prefer NickName]]=TRUE,Index_of_People[[#This Row],[Nick Names]],
IF(I377&lt;&gt;"",_xlpm.MarriedName,_xlpm.FamilyName))))</f>
        <v>Russela [Rusty] Carey</v>
      </c>
      <c r="D377" s="12"/>
      <c r="F377" t="s">
        <v>1555</v>
      </c>
      <c r="H377" t="s">
        <v>320</v>
      </c>
      <c r="J377" t="s">
        <v>1556</v>
      </c>
      <c r="K377" s="12" t="str">
        <f>IF(Index_of_People[[#This Row],[SpouseID]]="","",IFERROR(INDEX(Index_of_People[Metadata Name],MATCH(Index_of_People[[#This Row],[SpouseID]],Index_of_People[NameID],0)),""))</f>
        <v/>
      </c>
      <c r="L377" s="6"/>
      <c r="P377" t="b">
        <v>1</v>
      </c>
    </row>
    <row r="378" spans="1:16" x14ac:dyDescent="0.25">
      <c r="A378" s="6">
        <f t="shared" si="0"/>
        <v>373</v>
      </c>
      <c r="B378" s="6" t="b">
        <v>0</v>
      </c>
      <c r="C378" s="12" t="str">
        <f>_xlfn.LET(
_xlpm.FamilyName,IF(F378="","",F378)&amp;IF(G378="",""," "&amp;G378)&amp;IF(H378="",""," "&amp;H378),
_xlpm.MarriedName,IF(F378="","",F378)&amp;IF(G378="",""," "&amp;G378)&amp;IF(I378="",""," "&amp;I378)&amp;IF(H378="",""," "&amp;"("&amp;H378)&amp;")",
TRIM(IF(Index_of_People[[#This Row],[Prefer NickName]]=TRUE,Index_of_People[[#This Row],[Nick Names]],
IF(I378&lt;&gt;"",_xlpm.MarriedName,_xlpm.FamilyName))))</f>
        <v>Violet Louise Carey (Pearce)</v>
      </c>
      <c r="D378" s="12"/>
      <c r="F378" t="s">
        <v>291</v>
      </c>
      <c r="G378" t="s">
        <v>171</v>
      </c>
      <c r="H378" t="s">
        <v>449</v>
      </c>
      <c r="I378" t="s">
        <v>320</v>
      </c>
      <c r="K378" s="12" t="str">
        <f>IF(Index_of_People[[#This Row],[SpouseID]]="","",IFERROR(INDEX(Index_of_People[Metadata Name],MATCH(Index_of_People[[#This Row],[SpouseID]],Index_of_People[NameID],0)),""))</f>
        <v/>
      </c>
      <c r="L378" s="6"/>
      <c r="P378" t="b">
        <v>1</v>
      </c>
    </row>
    <row r="379" spans="1:16" x14ac:dyDescent="0.25">
      <c r="A379" s="6">
        <f t="shared" si="0"/>
        <v>374</v>
      </c>
      <c r="B379" s="6" t="b">
        <v>0</v>
      </c>
      <c r="C379" s="12" t="str">
        <f>_xlfn.LET(
_xlpm.FamilyName,IF(F379="","",F379)&amp;IF(G379="",""," "&amp;G379)&amp;IF(H379="",""," "&amp;H379),
_xlpm.MarriedName,IF(F379="","",F379)&amp;IF(G379="",""," "&amp;G379)&amp;IF(I379="",""," "&amp;I379)&amp;IF(H379="",""," "&amp;"("&amp;H379)&amp;")",
TRIM(IF(Index_of_People[[#This Row],[Prefer NickName]]=TRUE,Index_of_People[[#This Row],[Nick Names]],
IF(I379&lt;&gt;"",_xlpm.MarriedName,_xlpm.FamilyName))))</f>
        <v>Cathy Morford</v>
      </c>
      <c r="D379" s="12"/>
      <c r="F379" t="s">
        <v>1557</v>
      </c>
      <c r="H379" t="s">
        <v>340</v>
      </c>
      <c r="K379" s="12" t="str">
        <f>IF(Index_of_People[[#This Row],[SpouseID]]="","",IFERROR(INDEX(Index_of_People[Metadata Name],MATCH(Index_of_People[[#This Row],[SpouseID]],Index_of_People[NameID],0)),""))</f>
        <v/>
      </c>
      <c r="L379" s="6"/>
      <c r="P379" t="b">
        <v>1</v>
      </c>
    </row>
  </sheetData>
  <phoneticPr fontId="19" type="noConversion"/>
  <conditionalFormatting sqref="C5:C77">
    <cfRule type="duplicateValues" dxfId="10" priority="95"/>
  </conditionalFormatting>
  <conditionalFormatting sqref="C5:C379">
    <cfRule type="duplicateValues" dxfId="9" priority="17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31AA-292E-4253-835E-255B9879A29A}">
  <sheetPr codeName="Sheet4"/>
  <dimension ref="A2:AC698"/>
  <sheetViews>
    <sheetView topLeftCell="A4" workbookViewId="0">
      <pane ySplit="1" topLeftCell="A5" activePane="bottomLeft" state="frozen"/>
      <selection activeCell="A4" sqref="A4"/>
      <selection pane="bottomLeft" activeCell="A16" sqref="A16"/>
    </sheetView>
  </sheetViews>
  <sheetFormatPr defaultRowHeight="15" x14ac:dyDescent="0.25"/>
  <cols>
    <col min="1" max="1" width="61.5703125" customWidth="1"/>
    <col min="2" max="2" width="29.7109375" customWidth="1"/>
    <col min="3" max="3" width="36" customWidth="1"/>
    <col min="4" max="4" width="28.28515625" customWidth="1"/>
    <col min="5" max="5" width="15.5703125" customWidth="1"/>
    <col min="6" max="6" width="20.28515625" customWidth="1"/>
    <col min="7" max="7" width="20.140625" customWidth="1"/>
    <col min="8" max="8" width="19.5703125" customWidth="1"/>
    <col min="9" max="9" width="19.7109375" customWidth="1"/>
    <col min="10" max="10" width="12.5703125" customWidth="1"/>
    <col min="28" max="28" width="22" customWidth="1"/>
    <col min="29" max="29" width="15.42578125" bestFit="1" customWidth="1"/>
  </cols>
  <sheetData>
    <row r="2" spans="1:29" x14ac:dyDescent="0.25">
      <c r="AB2" t="s">
        <v>569</v>
      </c>
    </row>
    <row r="3" spans="1:29" x14ac:dyDescent="0.25">
      <c r="AB3" t="s">
        <v>569</v>
      </c>
    </row>
    <row r="4" spans="1:29" x14ac:dyDescent="0.25">
      <c r="A4" t="s">
        <v>1299</v>
      </c>
      <c r="B4" t="s">
        <v>1300</v>
      </c>
      <c r="C4" t="s">
        <v>1301</v>
      </c>
      <c r="D4" t="s">
        <v>1302</v>
      </c>
      <c r="E4" t="s">
        <v>1303</v>
      </c>
      <c r="F4" t="s">
        <v>1304</v>
      </c>
      <c r="G4" t="s">
        <v>1305</v>
      </c>
      <c r="H4" t="s">
        <v>1306</v>
      </c>
      <c r="I4" t="s">
        <v>1307</v>
      </c>
      <c r="J4" t="s">
        <v>1308</v>
      </c>
      <c r="K4" t="s">
        <v>1309</v>
      </c>
      <c r="L4" t="s">
        <v>1310</v>
      </c>
      <c r="M4" t="s">
        <v>1311</v>
      </c>
      <c r="N4" t="s">
        <v>1312</v>
      </c>
      <c r="O4" t="s">
        <v>1313</v>
      </c>
      <c r="P4" t="s">
        <v>1314</v>
      </c>
      <c r="Q4" t="s">
        <v>1315</v>
      </c>
      <c r="R4" t="s">
        <v>1316</v>
      </c>
      <c r="S4" t="s">
        <v>1317</v>
      </c>
      <c r="T4" t="s">
        <v>1318</v>
      </c>
      <c r="U4" t="s">
        <v>1319</v>
      </c>
      <c r="V4" t="s">
        <v>1320</v>
      </c>
      <c r="W4" t="s">
        <v>1321</v>
      </c>
      <c r="X4" t="s">
        <v>1322</v>
      </c>
      <c r="Y4" t="s">
        <v>1323</v>
      </c>
      <c r="Z4" t="s">
        <v>1324</v>
      </c>
      <c r="AA4" t="s">
        <v>1325</v>
      </c>
      <c r="AB4" t="s">
        <v>1227</v>
      </c>
      <c r="AC4" t="s">
        <v>1228</v>
      </c>
    </row>
    <row r="5" spans="1:29" x14ac:dyDescent="0.25">
      <c r="A5" t="s">
        <v>569</v>
      </c>
      <c r="B5" t="s">
        <v>1255</v>
      </c>
      <c r="C5" t="s">
        <v>1256</v>
      </c>
      <c r="D5" t="s">
        <v>1006</v>
      </c>
      <c r="E5" t="s">
        <v>1236</v>
      </c>
      <c r="F5" t="s">
        <v>569</v>
      </c>
      <c r="G5" t="s">
        <v>569</v>
      </c>
      <c r="H5" t="s">
        <v>569</v>
      </c>
      <c r="I5" t="s">
        <v>569</v>
      </c>
      <c r="J5" t="s">
        <v>569</v>
      </c>
      <c r="K5" t="s">
        <v>569</v>
      </c>
      <c r="L5" t="s">
        <v>569</v>
      </c>
      <c r="M5" t="s">
        <v>569</v>
      </c>
      <c r="N5" t="s">
        <v>569</v>
      </c>
      <c r="O5" t="s">
        <v>569</v>
      </c>
      <c r="P5" t="s">
        <v>569</v>
      </c>
      <c r="Q5" t="s">
        <v>569</v>
      </c>
      <c r="R5">
        <v>51.13</v>
      </c>
      <c r="S5" t="s">
        <v>1213</v>
      </c>
      <c r="T5">
        <v>-3</v>
      </c>
      <c r="U5" t="s">
        <v>1206</v>
      </c>
      <c r="V5" t="s">
        <v>569</v>
      </c>
      <c r="W5" t="s">
        <v>569</v>
      </c>
      <c r="X5" t="s">
        <v>569</v>
      </c>
      <c r="Y5" t="s">
        <v>569</v>
      </c>
      <c r="Z5" t="s">
        <v>569</v>
      </c>
      <c r="AA5" t="s">
        <v>569</v>
      </c>
      <c r="AB5">
        <v>5000</v>
      </c>
      <c r="AC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" spans="1:29" x14ac:dyDescent="0.25">
      <c r="A6" t="s">
        <v>569</v>
      </c>
      <c r="B6" t="s">
        <v>1257</v>
      </c>
      <c r="C6" t="s">
        <v>1256</v>
      </c>
      <c r="D6" t="s">
        <v>1006</v>
      </c>
      <c r="E6" t="s">
        <v>1236</v>
      </c>
      <c r="F6" t="s">
        <v>569</v>
      </c>
      <c r="G6" t="s">
        <v>569</v>
      </c>
      <c r="H6" t="s">
        <v>569</v>
      </c>
      <c r="I6" t="s">
        <v>569</v>
      </c>
      <c r="J6" t="s">
        <v>569</v>
      </c>
      <c r="K6" t="s">
        <v>569</v>
      </c>
      <c r="L6" t="s">
        <v>569</v>
      </c>
      <c r="M6" t="s">
        <v>569</v>
      </c>
      <c r="N6" t="s">
        <v>569</v>
      </c>
      <c r="O6" t="s">
        <v>569</v>
      </c>
      <c r="P6" t="s">
        <v>569</v>
      </c>
      <c r="Q6" t="s">
        <v>569</v>
      </c>
      <c r="R6">
        <v>51.48</v>
      </c>
      <c r="S6" t="s">
        <v>1213</v>
      </c>
      <c r="T6">
        <v>-2.63</v>
      </c>
      <c r="U6" t="s">
        <v>1206</v>
      </c>
      <c r="V6" t="s">
        <v>569</v>
      </c>
      <c r="W6" t="s">
        <v>569</v>
      </c>
      <c r="X6" t="s">
        <v>569</v>
      </c>
      <c r="Y6" t="s">
        <v>569</v>
      </c>
      <c r="Z6" t="s">
        <v>569</v>
      </c>
      <c r="AA6" t="s">
        <v>569</v>
      </c>
      <c r="AB6">
        <v>5000</v>
      </c>
      <c r="AC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" spans="1:29" x14ac:dyDescent="0.25">
      <c r="A7" t="s">
        <v>569</v>
      </c>
      <c r="B7" t="s">
        <v>835</v>
      </c>
      <c r="C7" t="s">
        <v>504</v>
      </c>
      <c r="D7" t="s">
        <v>501</v>
      </c>
      <c r="E7" t="s">
        <v>502</v>
      </c>
      <c r="F7" t="s">
        <v>569</v>
      </c>
      <c r="G7" t="s">
        <v>569</v>
      </c>
      <c r="H7" t="s">
        <v>569</v>
      </c>
      <c r="I7" t="s">
        <v>569</v>
      </c>
      <c r="J7" t="s">
        <v>569</v>
      </c>
      <c r="K7" t="s">
        <v>569</v>
      </c>
      <c r="L7" t="s">
        <v>569</v>
      </c>
      <c r="M7" t="s">
        <v>569</v>
      </c>
      <c r="N7" t="s">
        <v>569</v>
      </c>
      <c r="O7" t="s">
        <v>569</v>
      </c>
      <c r="P7" t="s">
        <v>569</v>
      </c>
      <c r="Q7" t="s">
        <v>569</v>
      </c>
      <c r="R7">
        <v>49.17</v>
      </c>
      <c r="S7" t="s">
        <v>1213</v>
      </c>
      <c r="T7">
        <v>-121.95</v>
      </c>
      <c r="U7" t="s">
        <v>1206</v>
      </c>
      <c r="V7" t="s">
        <v>569</v>
      </c>
      <c r="W7" t="s">
        <v>569</v>
      </c>
      <c r="X7" t="s">
        <v>569</v>
      </c>
      <c r="Y7" t="s">
        <v>569</v>
      </c>
      <c r="Z7" t="s">
        <v>569</v>
      </c>
      <c r="AA7" t="s">
        <v>569</v>
      </c>
      <c r="AB7">
        <v>5000</v>
      </c>
      <c r="AC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" spans="1:29" x14ac:dyDescent="0.25">
      <c r="A8" t="s">
        <v>569</v>
      </c>
      <c r="B8" t="s">
        <v>1004</v>
      </c>
      <c r="C8" t="s">
        <v>504</v>
      </c>
      <c r="D8" t="s">
        <v>501</v>
      </c>
      <c r="E8" t="s">
        <v>502</v>
      </c>
      <c r="F8" t="s">
        <v>569</v>
      </c>
      <c r="G8" t="s">
        <v>569</v>
      </c>
      <c r="H8" t="s">
        <v>569</v>
      </c>
      <c r="I8" t="s">
        <v>569</v>
      </c>
      <c r="J8" t="s">
        <v>569</v>
      </c>
      <c r="K8" t="s">
        <v>569</v>
      </c>
      <c r="L8" t="s">
        <v>569</v>
      </c>
      <c r="M8" t="s">
        <v>569</v>
      </c>
      <c r="N8" t="s">
        <v>569</v>
      </c>
      <c r="O8" t="s">
        <v>569</v>
      </c>
      <c r="P8" t="s">
        <v>569</v>
      </c>
      <c r="Q8" t="s">
        <v>569</v>
      </c>
      <c r="R8">
        <v>50.27</v>
      </c>
      <c r="S8" t="s">
        <v>1213</v>
      </c>
      <c r="T8">
        <v>-119.27</v>
      </c>
      <c r="U8" t="s">
        <v>1206</v>
      </c>
      <c r="V8" t="s">
        <v>569</v>
      </c>
      <c r="W8" t="s">
        <v>569</v>
      </c>
      <c r="X8" t="s">
        <v>569</v>
      </c>
      <c r="Y8" t="s">
        <v>569</v>
      </c>
      <c r="Z8" t="s">
        <v>569</v>
      </c>
      <c r="AA8" t="s">
        <v>569</v>
      </c>
      <c r="AB8">
        <v>5000</v>
      </c>
      <c r="AC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" spans="1:29" x14ac:dyDescent="0.25">
      <c r="A9" t="s">
        <v>569</v>
      </c>
      <c r="B9" t="s">
        <v>513</v>
      </c>
      <c r="C9" t="s">
        <v>504</v>
      </c>
      <c r="D9" t="s">
        <v>501</v>
      </c>
      <c r="E9" t="s">
        <v>502</v>
      </c>
      <c r="F9" t="s">
        <v>569</v>
      </c>
      <c r="G9" t="s">
        <v>569</v>
      </c>
      <c r="H9" t="s">
        <v>569</v>
      </c>
      <c r="I9" t="s">
        <v>569</v>
      </c>
      <c r="J9" t="s">
        <v>569</v>
      </c>
      <c r="K9" t="s">
        <v>569</v>
      </c>
      <c r="L9" t="s">
        <v>569</v>
      </c>
      <c r="M9" t="s">
        <v>569</v>
      </c>
      <c r="N9" t="s">
        <v>569</v>
      </c>
      <c r="O9" t="s">
        <v>569</v>
      </c>
      <c r="P9" t="s">
        <v>569</v>
      </c>
      <c r="Q9" t="s">
        <v>569</v>
      </c>
      <c r="R9">
        <v>49.26</v>
      </c>
      <c r="S9" t="s">
        <v>1213</v>
      </c>
      <c r="T9">
        <v>-123.11</v>
      </c>
      <c r="U9" t="s">
        <v>1206</v>
      </c>
      <c r="V9" t="s">
        <v>569</v>
      </c>
      <c r="W9" t="s">
        <v>569</v>
      </c>
      <c r="X9" t="s">
        <v>569</v>
      </c>
      <c r="Y9" t="s">
        <v>569</v>
      </c>
      <c r="Z9" t="s">
        <v>569</v>
      </c>
      <c r="AA9" t="s">
        <v>569</v>
      </c>
      <c r="AB9">
        <v>5000</v>
      </c>
      <c r="AC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" spans="1:29" x14ac:dyDescent="0.25">
      <c r="A10" t="s">
        <v>569</v>
      </c>
      <c r="B10" t="s">
        <v>1258</v>
      </c>
      <c r="C10" t="s">
        <v>504</v>
      </c>
      <c r="D10" t="s">
        <v>501</v>
      </c>
      <c r="E10" t="s">
        <v>502</v>
      </c>
      <c r="F10" t="s">
        <v>569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>
        <v>50.37</v>
      </c>
      <c r="S10" t="s">
        <v>1213</v>
      </c>
      <c r="T10">
        <v>-125.24</v>
      </c>
      <c r="U10" t="s">
        <v>1206</v>
      </c>
      <c r="V10" t="s">
        <v>569</v>
      </c>
      <c r="W10" t="s">
        <v>569</v>
      </c>
      <c r="X10" t="s">
        <v>569</v>
      </c>
      <c r="Y10" t="s">
        <v>569</v>
      </c>
      <c r="Z10" t="s">
        <v>569</v>
      </c>
      <c r="AA10" t="s">
        <v>569</v>
      </c>
      <c r="AB10">
        <v>5000</v>
      </c>
      <c r="AC1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" spans="1:29" x14ac:dyDescent="0.25">
      <c r="A11" t="s">
        <v>569</v>
      </c>
      <c r="B11" t="s">
        <v>1007</v>
      </c>
      <c r="C11" t="s">
        <v>1008</v>
      </c>
      <c r="D11" t="s">
        <v>501</v>
      </c>
      <c r="E11" t="s">
        <v>502</v>
      </c>
      <c r="F11" t="s">
        <v>569</v>
      </c>
      <c r="G11" t="s">
        <v>569</v>
      </c>
      <c r="H11" t="s">
        <v>569</v>
      </c>
      <c r="I11" t="s">
        <v>569</v>
      </c>
      <c r="J11" t="s">
        <v>569</v>
      </c>
      <c r="K11" t="s">
        <v>569</v>
      </c>
      <c r="L11" t="s">
        <v>569</v>
      </c>
      <c r="M11" t="s">
        <v>569</v>
      </c>
      <c r="N11" t="s">
        <v>569</v>
      </c>
      <c r="O11" t="s">
        <v>569</v>
      </c>
      <c r="P11" t="s">
        <v>569</v>
      </c>
      <c r="Q11" t="s">
        <v>569</v>
      </c>
      <c r="R11">
        <v>49.71</v>
      </c>
      <c r="S11" t="s">
        <v>1213</v>
      </c>
      <c r="T11">
        <v>-97.91</v>
      </c>
      <c r="U11" t="s">
        <v>1206</v>
      </c>
      <c r="V11" t="s">
        <v>569</v>
      </c>
      <c r="W11" t="s">
        <v>569</v>
      </c>
      <c r="X11" t="s">
        <v>569</v>
      </c>
      <c r="Y11" t="s">
        <v>569</v>
      </c>
      <c r="Z11" t="s">
        <v>569</v>
      </c>
      <c r="AA11" t="s">
        <v>569</v>
      </c>
      <c r="AB11">
        <v>5000</v>
      </c>
      <c r="AC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" spans="1:29" x14ac:dyDescent="0.25">
      <c r="A12" t="s">
        <v>569</v>
      </c>
      <c r="B12" t="s">
        <v>500</v>
      </c>
      <c r="C12" t="s">
        <v>504</v>
      </c>
      <c r="D12" t="s">
        <v>501</v>
      </c>
      <c r="E12" t="s">
        <v>502</v>
      </c>
      <c r="F12" t="s">
        <v>569</v>
      </c>
      <c r="G12" t="s">
        <v>569</v>
      </c>
      <c r="H12" t="s">
        <v>569</v>
      </c>
      <c r="I12" t="s">
        <v>569</v>
      </c>
      <c r="J12" t="s">
        <v>569</v>
      </c>
      <c r="K12" t="s">
        <v>569</v>
      </c>
      <c r="L12" t="s">
        <v>569</v>
      </c>
      <c r="M12" t="s">
        <v>569</v>
      </c>
      <c r="N12" t="s">
        <v>569</v>
      </c>
      <c r="O12" t="s">
        <v>569</v>
      </c>
      <c r="P12" t="s">
        <v>569</v>
      </c>
      <c r="Q12" t="s">
        <v>569</v>
      </c>
      <c r="R12">
        <v>49.16</v>
      </c>
      <c r="S12" t="s">
        <v>1213</v>
      </c>
      <c r="T12">
        <v>-122.28</v>
      </c>
      <c r="U12" t="s">
        <v>1206</v>
      </c>
      <c r="V12" t="s">
        <v>569</v>
      </c>
      <c r="W12" t="s">
        <v>569</v>
      </c>
      <c r="X12" t="s">
        <v>569</v>
      </c>
      <c r="Y12" t="s">
        <v>569</v>
      </c>
      <c r="Z12" t="s">
        <v>569</v>
      </c>
      <c r="AA12" t="s">
        <v>569</v>
      </c>
      <c r="AB12">
        <v>5000</v>
      </c>
      <c r="AC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" spans="1:29" x14ac:dyDescent="0.25">
      <c r="A13" t="s">
        <v>569</v>
      </c>
      <c r="B13" t="s">
        <v>1259</v>
      </c>
      <c r="C13" t="s">
        <v>504</v>
      </c>
      <c r="D13" t="s">
        <v>501</v>
      </c>
      <c r="E13" t="s">
        <v>502</v>
      </c>
      <c r="F13" t="s">
        <v>569</v>
      </c>
      <c r="G13" t="s">
        <v>569</v>
      </c>
      <c r="H13" t="s">
        <v>569</v>
      </c>
      <c r="I13" t="s">
        <v>569</v>
      </c>
      <c r="J13" t="s">
        <v>569</v>
      </c>
      <c r="K13" t="s">
        <v>569</v>
      </c>
      <c r="L13" t="s">
        <v>569</v>
      </c>
      <c r="M13" t="s">
        <v>569</v>
      </c>
      <c r="N13" t="s">
        <v>569</v>
      </c>
      <c r="O13" t="s">
        <v>569</v>
      </c>
      <c r="P13" t="s">
        <v>569</v>
      </c>
      <c r="Q13" t="s">
        <v>569</v>
      </c>
      <c r="R13">
        <v>49.21</v>
      </c>
      <c r="S13" t="s">
        <v>1213</v>
      </c>
      <c r="T13">
        <v>-122.91</v>
      </c>
      <c r="U13" t="s">
        <v>1206</v>
      </c>
      <c r="V13" t="s">
        <v>569</v>
      </c>
      <c r="W13" t="s">
        <v>569</v>
      </c>
      <c r="X13" t="s">
        <v>569</v>
      </c>
      <c r="Y13" t="s">
        <v>569</v>
      </c>
      <c r="Z13" t="s">
        <v>569</v>
      </c>
      <c r="AA13" t="s">
        <v>569</v>
      </c>
      <c r="AB13">
        <v>5000</v>
      </c>
      <c r="AC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" spans="1:29" x14ac:dyDescent="0.25">
      <c r="A14" t="s">
        <v>569</v>
      </c>
      <c r="B14" t="s">
        <v>1260</v>
      </c>
      <c r="C14" t="s">
        <v>504</v>
      </c>
      <c r="D14" t="s">
        <v>501</v>
      </c>
      <c r="E14" t="s">
        <v>502</v>
      </c>
      <c r="F14" t="s">
        <v>569</v>
      </c>
      <c r="G14" t="s">
        <v>569</v>
      </c>
      <c r="H14" t="s">
        <v>569</v>
      </c>
      <c r="I14" t="s">
        <v>569</v>
      </c>
      <c r="J14" t="s">
        <v>569</v>
      </c>
      <c r="K14" t="s">
        <v>569</v>
      </c>
      <c r="L14" t="s">
        <v>569</v>
      </c>
      <c r="M14" t="s">
        <v>569</v>
      </c>
      <c r="N14" t="s">
        <v>569</v>
      </c>
      <c r="O14" t="s">
        <v>569</v>
      </c>
      <c r="P14" t="s">
        <v>569</v>
      </c>
      <c r="Q14" t="s">
        <v>569</v>
      </c>
      <c r="R14">
        <v>50.37</v>
      </c>
      <c r="S14" t="s">
        <v>1213</v>
      </c>
      <c r="T14">
        <v>-125.32</v>
      </c>
      <c r="U14" t="s">
        <v>1206</v>
      </c>
      <c r="V14" t="s">
        <v>569</v>
      </c>
      <c r="W14" t="s">
        <v>569</v>
      </c>
      <c r="X14" t="s">
        <v>569</v>
      </c>
      <c r="Y14" t="s">
        <v>569</v>
      </c>
      <c r="Z14" t="s">
        <v>569</v>
      </c>
      <c r="AA14" t="s">
        <v>569</v>
      </c>
      <c r="AB14">
        <v>5000</v>
      </c>
      <c r="AC1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" spans="1:29" x14ac:dyDescent="0.25">
      <c r="A15" t="s">
        <v>569</v>
      </c>
      <c r="B15" t="s">
        <v>1009</v>
      </c>
      <c r="C15" t="s">
        <v>1261</v>
      </c>
      <c r="D15" t="s">
        <v>501</v>
      </c>
      <c r="E15" t="s">
        <v>502</v>
      </c>
      <c r="F15" t="s">
        <v>569</v>
      </c>
      <c r="G15" t="s">
        <v>569</v>
      </c>
      <c r="H15" t="s">
        <v>569</v>
      </c>
      <c r="I15" t="s">
        <v>569</v>
      </c>
      <c r="J15" t="s">
        <v>569</v>
      </c>
      <c r="K15" t="s">
        <v>569</v>
      </c>
      <c r="L15" t="s">
        <v>569</v>
      </c>
      <c r="M15" t="s">
        <v>569</v>
      </c>
      <c r="N15" t="s">
        <v>569</v>
      </c>
      <c r="O15" t="s">
        <v>569</v>
      </c>
      <c r="P15" t="s">
        <v>569</v>
      </c>
      <c r="Q15" t="s">
        <v>569</v>
      </c>
      <c r="R15">
        <v>45.37</v>
      </c>
      <c r="S15" t="s">
        <v>1213</v>
      </c>
      <c r="T15">
        <v>-63.3</v>
      </c>
      <c r="U15" t="s">
        <v>1206</v>
      </c>
      <c r="V15" t="s">
        <v>569</v>
      </c>
      <c r="W15" t="s">
        <v>569</v>
      </c>
      <c r="X15" t="s">
        <v>569</v>
      </c>
      <c r="Y15" t="s">
        <v>569</v>
      </c>
      <c r="Z15" t="s">
        <v>569</v>
      </c>
      <c r="AA15" t="s">
        <v>569</v>
      </c>
      <c r="AB15">
        <v>5000</v>
      </c>
      <c r="AC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" spans="1:29" x14ac:dyDescent="0.25">
      <c r="A16" t="s">
        <v>569</v>
      </c>
      <c r="B16" t="s">
        <v>572</v>
      </c>
      <c r="C16" t="s">
        <v>504</v>
      </c>
      <c r="D16" t="s">
        <v>501</v>
      </c>
      <c r="E16" t="s">
        <v>502</v>
      </c>
      <c r="F16" t="s">
        <v>569</v>
      </c>
      <c r="G16" t="s">
        <v>569</v>
      </c>
      <c r="H16" t="s">
        <v>569</v>
      </c>
      <c r="I16" t="s">
        <v>569</v>
      </c>
      <c r="J16" t="s">
        <v>569</v>
      </c>
      <c r="K16" t="s">
        <v>569</v>
      </c>
      <c r="L16" t="s">
        <v>569</v>
      </c>
      <c r="M16" t="s">
        <v>569</v>
      </c>
      <c r="N16" t="s">
        <v>569</v>
      </c>
      <c r="O16" t="s">
        <v>569</v>
      </c>
      <c r="P16" t="s">
        <v>569</v>
      </c>
      <c r="Q16" t="s">
        <v>569</v>
      </c>
      <c r="R16">
        <v>48.83</v>
      </c>
      <c r="S16" t="s">
        <v>1213</v>
      </c>
      <c r="T16">
        <v>-123.52</v>
      </c>
      <c r="U16" t="s">
        <v>1206</v>
      </c>
      <c r="V16" t="s">
        <v>569</v>
      </c>
      <c r="W16" t="s">
        <v>569</v>
      </c>
      <c r="X16" t="s">
        <v>569</v>
      </c>
      <c r="Y16" t="s">
        <v>569</v>
      </c>
      <c r="Z16" t="s">
        <v>569</v>
      </c>
      <c r="AA16" t="s">
        <v>569</v>
      </c>
      <c r="AB16">
        <v>5000</v>
      </c>
      <c r="AC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" spans="1:29" x14ac:dyDescent="0.25">
      <c r="A17" t="s">
        <v>569</v>
      </c>
      <c r="B17" t="s">
        <v>526</v>
      </c>
      <c r="C17" t="s">
        <v>504</v>
      </c>
      <c r="D17" t="s">
        <v>501</v>
      </c>
      <c r="E17" t="s">
        <v>502</v>
      </c>
      <c r="F17" t="s">
        <v>569</v>
      </c>
      <c r="G17" t="s">
        <v>569</v>
      </c>
      <c r="H17" t="s">
        <v>569</v>
      </c>
      <c r="I17" t="s">
        <v>569</v>
      </c>
      <c r="J17" t="s">
        <v>569</v>
      </c>
      <c r="K17" t="s">
        <v>569</v>
      </c>
      <c r="L17" t="s">
        <v>569</v>
      </c>
      <c r="M17" t="s">
        <v>569</v>
      </c>
      <c r="N17" t="s">
        <v>569</v>
      </c>
      <c r="O17" t="s">
        <v>569</v>
      </c>
      <c r="P17" t="s">
        <v>569</v>
      </c>
      <c r="Q17" t="s">
        <v>569</v>
      </c>
      <c r="R17">
        <v>49.7</v>
      </c>
      <c r="S17" t="s">
        <v>1213</v>
      </c>
      <c r="T17">
        <v>-123.16</v>
      </c>
      <c r="U17" t="s">
        <v>1206</v>
      </c>
      <c r="V17" t="s">
        <v>569</v>
      </c>
      <c r="W17" t="s">
        <v>569</v>
      </c>
      <c r="X17" t="s">
        <v>569</v>
      </c>
      <c r="Y17" t="s">
        <v>569</v>
      </c>
      <c r="Z17" t="s">
        <v>569</v>
      </c>
      <c r="AA17" t="s">
        <v>569</v>
      </c>
      <c r="AB17">
        <v>5000</v>
      </c>
      <c r="AC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" spans="1:29" x14ac:dyDescent="0.25">
      <c r="A18" t="s">
        <v>569</v>
      </c>
      <c r="B18" t="s">
        <v>505</v>
      </c>
      <c r="C18" t="s">
        <v>504</v>
      </c>
      <c r="D18" t="s">
        <v>501</v>
      </c>
      <c r="E18" t="s">
        <v>502</v>
      </c>
      <c r="F18" t="s">
        <v>569</v>
      </c>
      <c r="G18" t="s">
        <v>569</v>
      </c>
      <c r="H18" t="s">
        <v>569</v>
      </c>
      <c r="I18" t="s">
        <v>569</v>
      </c>
      <c r="J18" t="s">
        <v>569</v>
      </c>
      <c r="K18" t="s">
        <v>569</v>
      </c>
      <c r="L18" t="s">
        <v>569</v>
      </c>
      <c r="M18" t="s">
        <v>569</v>
      </c>
      <c r="N18" t="s">
        <v>569</v>
      </c>
      <c r="O18" t="s">
        <v>569</v>
      </c>
      <c r="P18" t="s">
        <v>569</v>
      </c>
      <c r="Q18" t="s">
        <v>569</v>
      </c>
      <c r="R18">
        <v>48.43</v>
      </c>
      <c r="S18" t="s">
        <v>1213</v>
      </c>
      <c r="T18">
        <v>-123.36</v>
      </c>
      <c r="U18" t="s">
        <v>1206</v>
      </c>
      <c r="V18" t="s">
        <v>569</v>
      </c>
      <c r="W18" t="s">
        <v>569</v>
      </c>
      <c r="X18" t="s">
        <v>569</v>
      </c>
      <c r="Y18" t="s">
        <v>569</v>
      </c>
      <c r="Z18" t="s">
        <v>569</v>
      </c>
      <c r="AA18" t="s">
        <v>569</v>
      </c>
      <c r="AB18">
        <v>5000</v>
      </c>
      <c r="AC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" spans="1:29" x14ac:dyDescent="0.25">
      <c r="A19" t="s">
        <v>569</v>
      </c>
      <c r="B19" t="s">
        <v>1262</v>
      </c>
      <c r="C19" t="s">
        <v>504</v>
      </c>
      <c r="D19" t="s">
        <v>501</v>
      </c>
      <c r="E19" t="s">
        <v>502</v>
      </c>
      <c r="F19" t="s">
        <v>569</v>
      </c>
      <c r="G19" t="s">
        <v>569</v>
      </c>
      <c r="H19" t="s">
        <v>569</v>
      </c>
      <c r="I19" t="s">
        <v>569</v>
      </c>
      <c r="J19" t="s">
        <v>569</v>
      </c>
      <c r="K19" t="s">
        <v>569</v>
      </c>
      <c r="L19" t="s">
        <v>569</v>
      </c>
      <c r="M19" t="s">
        <v>569</v>
      </c>
      <c r="N19" t="s">
        <v>569</v>
      </c>
      <c r="O19" t="s">
        <v>569</v>
      </c>
      <c r="P19" t="s">
        <v>569</v>
      </c>
      <c r="Q19" t="s">
        <v>569</v>
      </c>
      <c r="R19">
        <v>52.69</v>
      </c>
      <c r="S19" t="s">
        <v>1213</v>
      </c>
      <c r="T19">
        <v>-131.88999999999999</v>
      </c>
      <c r="U19" t="s">
        <v>1206</v>
      </c>
      <c r="V19" t="s">
        <v>569</v>
      </c>
      <c r="W19" t="s">
        <v>569</v>
      </c>
      <c r="X19" t="s">
        <v>569</v>
      </c>
      <c r="Y19" t="s">
        <v>569</v>
      </c>
      <c r="Z19" t="s">
        <v>569</v>
      </c>
      <c r="AA19" t="s">
        <v>569</v>
      </c>
      <c r="AB19">
        <v>5000</v>
      </c>
      <c r="AC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" spans="1:29" x14ac:dyDescent="0.25">
      <c r="A20" t="s">
        <v>569</v>
      </c>
      <c r="B20" t="s">
        <v>1263</v>
      </c>
      <c r="C20" t="s">
        <v>504</v>
      </c>
      <c r="D20" t="s">
        <v>501</v>
      </c>
      <c r="E20" t="s">
        <v>502</v>
      </c>
      <c r="F20" t="s">
        <v>569</v>
      </c>
      <c r="G20" t="s">
        <v>569</v>
      </c>
      <c r="H20" t="s">
        <v>569</v>
      </c>
      <c r="I20" t="s">
        <v>569</v>
      </c>
      <c r="J20" t="s">
        <v>569</v>
      </c>
      <c r="K20" t="s">
        <v>569</v>
      </c>
      <c r="L20" t="s">
        <v>569</v>
      </c>
      <c r="M20" t="s">
        <v>569</v>
      </c>
      <c r="N20" t="s">
        <v>569</v>
      </c>
      <c r="O20" t="s">
        <v>569</v>
      </c>
      <c r="P20" t="s">
        <v>569</v>
      </c>
      <c r="Q20" t="s">
        <v>569</v>
      </c>
      <c r="R20">
        <v>49.23</v>
      </c>
      <c r="S20" t="s">
        <v>1213</v>
      </c>
      <c r="T20">
        <v>-121.77</v>
      </c>
      <c r="U20" t="s">
        <v>1206</v>
      </c>
      <c r="V20" t="s">
        <v>569</v>
      </c>
      <c r="W20" t="s">
        <v>569</v>
      </c>
      <c r="X20" t="s">
        <v>569</v>
      </c>
      <c r="Y20" t="s">
        <v>569</v>
      </c>
      <c r="Z20" t="s">
        <v>569</v>
      </c>
      <c r="AA20" t="s">
        <v>569</v>
      </c>
      <c r="AB20">
        <v>5000</v>
      </c>
      <c r="AC2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" spans="1:29" x14ac:dyDescent="0.25">
      <c r="A21" t="s">
        <v>569</v>
      </c>
      <c r="B21" t="s">
        <v>1264</v>
      </c>
      <c r="C21" t="s">
        <v>504</v>
      </c>
      <c r="D21" t="s">
        <v>501</v>
      </c>
      <c r="E21" t="s">
        <v>502</v>
      </c>
      <c r="F21" t="s">
        <v>569</v>
      </c>
      <c r="G21" t="s">
        <v>569</v>
      </c>
      <c r="H21" t="s">
        <v>569</v>
      </c>
      <c r="I21" t="s">
        <v>569</v>
      </c>
      <c r="J21" t="s">
        <v>569</v>
      </c>
      <c r="K21" t="s">
        <v>569</v>
      </c>
      <c r="L21" t="s">
        <v>569</v>
      </c>
      <c r="M21" t="s">
        <v>569</v>
      </c>
      <c r="N21" t="s">
        <v>569</v>
      </c>
      <c r="O21" t="s">
        <v>569</v>
      </c>
      <c r="P21" t="s">
        <v>569</v>
      </c>
      <c r="Q21" t="s">
        <v>569</v>
      </c>
      <c r="R21">
        <v>49.62</v>
      </c>
      <c r="S21" t="s">
        <v>1213</v>
      </c>
      <c r="T21">
        <v>-119.66</v>
      </c>
      <c r="U21" t="s">
        <v>1206</v>
      </c>
      <c r="V21" t="s">
        <v>569</v>
      </c>
      <c r="W21" t="s">
        <v>569</v>
      </c>
      <c r="X21" t="s">
        <v>569</v>
      </c>
      <c r="Y21" t="s">
        <v>569</v>
      </c>
      <c r="Z21" t="s">
        <v>569</v>
      </c>
      <c r="AA21" t="s">
        <v>569</v>
      </c>
      <c r="AB21">
        <v>5000</v>
      </c>
      <c r="AC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" spans="1:29" x14ac:dyDescent="0.25">
      <c r="A22" t="s">
        <v>569</v>
      </c>
      <c r="B22" t="s">
        <v>1011</v>
      </c>
      <c r="C22" t="s">
        <v>1012</v>
      </c>
      <c r="D22" t="s">
        <v>501</v>
      </c>
      <c r="E22" t="s">
        <v>502</v>
      </c>
      <c r="F22" t="s">
        <v>569</v>
      </c>
      <c r="G22" t="s">
        <v>569</v>
      </c>
      <c r="H22" t="s">
        <v>569</v>
      </c>
      <c r="I22" t="s">
        <v>569</v>
      </c>
      <c r="J22" t="s">
        <v>569</v>
      </c>
      <c r="K22" t="s">
        <v>569</v>
      </c>
      <c r="L22" t="s">
        <v>569</v>
      </c>
      <c r="M22" t="s">
        <v>569</v>
      </c>
      <c r="N22" t="s">
        <v>569</v>
      </c>
      <c r="O22" t="s">
        <v>569</v>
      </c>
      <c r="P22" t="s">
        <v>569</v>
      </c>
      <c r="Q22" t="s">
        <v>569</v>
      </c>
      <c r="R22">
        <v>43.65</v>
      </c>
      <c r="S22" t="s">
        <v>1213</v>
      </c>
      <c r="T22">
        <v>-79.38</v>
      </c>
      <c r="U22" t="s">
        <v>1206</v>
      </c>
      <c r="V22" t="s">
        <v>569</v>
      </c>
      <c r="W22" t="s">
        <v>569</v>
      </c>
      <c r="X22" t="s">
        <v>569</v>
      </c>
      <c r="Y22" t="s">
        <v>569</v>
      </c>
      <c r="Z22" t="s">
        <v>569</v>
      </c>
      <c r="AA22" t="s">
        <v>569</v>
      </c>
      <c r="AB22">
        <v>5000</v>
      </c>
      <c r="AC2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" spans="1:29" x14ac:dyDescent="0.25">
      <c r="A23" t="s">
        <v>569</v>
      </c>
      <c r="B23" t="s">
        <v>1265</v>
      </c>
      <c r="C23" t="s">
        <v>1266</v>
      </c>
      <c r="D23" t="s">
        <v>652</v>
      </c>
      <c r="E23" t="s">
        <v>653</v>
      </c>
      <c r="F23" t="s">
        <v>569</v>
      </c>
      <c r="G23" t="s">
        <v>569</v>
      </c>
      <c r="H23" t="s">
        <v>569</v>
      </c>
      <c r="I23" t="s">
        <v>569</v>
      </c>
      <c r="J23" t="s">
        <v>569</v>
      </c>
      <c r="K23" t="s">
        <v>569</v>
      </c>
      <c r="L23" t="s">
        <v>569</v>
      </c>
      <c r="M23" t="s">
        <v>569</v>
      </c>
      <c r="N23" t="s">
        <v>569</v>
      </c>
      <c r="O23" t="s">
        <v>569</v>
      </c>
      <c r="P23" t="s">
        <v>569</v>
      </c>
      <c r="Q23" t="s">
        <v>569</v>
      </c>
      <c r="R23">
        <v>30.4</v>
      </c>
      <c r="S23" t="s">
        <v>1213</v>
      </c>
      <c r="T23">
        <v>-88.89</v>
      </c>
      <c r="U23" t="s">
        <v>1206</v>
      </c>
      <c r="V23" t="s">
        <v>569</v>
      </c>
      <c r="W23" t="s">
        <v>569</v>
      </c>
      <c r="X23" t="s">
        <v>569</v>
      </c>
      <c r="Y23" t="s">
        <v>569</v>
      </c>
      <c r="Z23" t="s">
        <v>569</v>
      </c>
      <c r="AA23" t="s">
        <v>569</v>
      </c>
      <c r="AB23">
        <v>5000</v>
      </c>
      <c r="AC2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" spans="1:29" x14ac:dyDescent="0.25">
      <c r="A24" t="s">
        <v>569</v>
      </c>
      <c r="B24" t="s">
        <v>1267</v>
      </c>
      <c r="C24" t="s">
        <v>504</v>
      </c>
      <c r="D24" t="s">
        <v>501</v>
      </c>
      <c r="E24" t="s">
        <v>502</v>
      </c>
      <c r="F24" t="s">
        <v>569</v>
      </c>
      <c r="G24" t="s">
        <v>569</v>
      </c>
      <c r="H24" t="s">
        <v>569</v>
      </c>
      <c r="I24" t="s">
        <v>569</v>
      </c>
      <c r="J24" t="s">
        <v>569</v>
      </c>
      <c r="K24" t="s">
        <v>569</v>
      </c>
      <c r="L24" t="s">
        <v>569</v>
      </c>
      <c r="M24" t="s">
        <v>569</v>
      </c>
      <c r="N24" t="s">
        <v>569</v>
      </c>
      <c r="O24" t="s">
        <v>569</v>
      </c>
      <c r="P24" t="s">
        <v>569</v>
      </c>
      <c r="Q24" t="s">
        <v>569</v>
      </c>
      <c r="R24">
        <v>53.62</v>
      </c>
      <c r="S24" t="s">
        <v>1213</v>
      </c>
      <c r="T24">
        <v>-122.94</v>
      </c>
      <c r="U24" t="s">
        <v>1206</v>
      </c>
      <c r="V24" t="s">
        <v>569</v>
      </c>
      <c r="W24" t="s">
        <v>569</v>
      </c>
      <c r="X24" t="s">
        <v>569</v>
      </c>
      <c r="Y24" t="s">
        <v>569</v>
      </c>
      <c r="Z24" t="s">
        <v>569</v>
      </c>
      <c r="AA24" t="s">
        <v>569</v>
      </c>
      <c r="AB24">
        <v>5000</v>
      </c>
      <c r="AC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" spans="1:29" x14ac:dyDescent="0.25">
      <c r="A25" t="s">
        <v>569</v>
      </c>
      <c r="B25" t="s">
        <v>1268</v>
      </c>
      <c r="C25" t="s">
        <v>504</v>
      </c>
      <c r="D25" t="s">
        <v>501</v>
      </c>
      <c r="E25" t="s">
        <v>502</v>
      </c>
      <c r="F25" t="s">
        <v>569</v>
      </c>
      <c r="G25" t="s">
        <v>569</v>
      </c>
      <c r="H25" t="s">
        <v>569</v>
      </c>
      <c r="I25" t="s">
        <v>569</v>
      </c>
      <c r="J25" t="s">
        <v>569</v>
      </c>
      <c r="K25" t="s">
        <v>569</v>
      </c>
      <c r="L25" t="s">
        <v>569</v>
      </c>
      <c r="M25" t="s">
        <v>569</v>
      </c>
      <c r="N25" t="s">
        <v>569</v>
      </c>
      <c r="O25" t="s">
        <v>569</v>
      </c>
      <c r="P25" t="s">
        <v>569</v>
      </c>
      <c r="Q25" t="s">
        <v>569</v>
      </c>
      <c r="R25">
        <v>49.33</v>
      </c>
      <c r="S25" t="s">
        <v>1213</v>
      </c>
      <c r="T25">
        <v>-123.16</v>
      </c>
      <c r="U25" t="s">
        <v>1206</v>
      </c>
      <c r="V25" t="s">
        <v>569</v>
      </c>
      <c r="W25" t="s">
        <v>569</v>
      </c>
      <c r="X25" t="s">
        <v>569</v>
      </c>
      <c r="Y25" t="s">
        <v>569</v>
      </c>
      <c r="Z25" t="s">
        <v>569</v>
      </c>
      <c r="AA25" t="s">
        <v>569</v>
      </c>
      <c r="AB25">
        <v>5000</v>
      </c>
      <c r="AC2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" spans="1:29" x14ac:dyDescent="0.25">
      <c r="A26" t="s">
        <v>569</v>
      </c>
      <c r="B26" t="s">
        <v>925</v>
      </c>
      <c r="C26" t="s">
        <v>504</v>
      </c>
      <c r="D26" t="s">
        <v>501</v>
      </c>
      <c r="E26" t="s">
        <v>502</v>
      </c>
      <c r="F26" t="s">
        <v>569</v>
      </c>
      <c r="G26" t="s">
        <v>569</v>
      </c>
      <c r="H26" t="s">
        <v>569</v>
      </c>
      <c r="I26" t="s">
        <v>569</v>
      </c>
      <c r="J26" t="s">
        <v>569</v>
      </c>
      <c r="K26" t="s">
        <v>569</v>
      </c>
      <c r="L26" t="s">
        <v>569</v>
      </c>
      <c r="M26" t="s">
        <v>569</v>
      </c>
      <c r="N26" t="s">
        <v>569</v>
      </c>
      <c r="O26" t="s">
        <v>569</v>
      </c>
      <c r="P26" t="s">
        <v>569</v>
      </c>
      <c r="Q26" t="s">
        <v>569</v>
      </c>
      <c r="R26">
        <v>49.32</v>
      </c>
      <c r="S26" t="s">
        <v>1213</v>
      </c>
      <c r="T26">
        <v>-123.07</v>
      </c>
      <c r="U26" t="s">
        <v>1206</v>
      </c>
      <c r="V26" t="s">
        <v>569</v>
      </c>
      <c r="W26" t="s">
        <v>569</v>
      </c>
      <c r="X26" t="s">
        <v>569</v>
      </c>
      <c r="Y26" t="s">
        <v>569</v>
      </c>
      <c r="Z26" t="s">
        <v>569</v>
      </c>
      <c r="AA26" t="s">
        <v>569</v>
      </c>
      <c r="AB26">
        <v>5000</v>
      </c>
      <c r="AC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" spans="1:29" x14ac:dyDescent="0.25">
      <c r="A27" t="s">
        <v>569</v>
      </c>
      <c r="B27" t="s">
        <v>1014</v>
      </c>
      <c r="C27" t="s">
        <v>1015</v>
      </c>
      <c r="D27" t="s">
        <v>501</v>
      </c>
      <c r="E27" t="s">
        <v>502</v>
      </c>
      <c r="F27" t="s">
        <v>569</v>
      </c>
      <c r="G27" t="s">
        <v>569</v>
      </c>
      <c r="H27" t="s">
        <v>569</v>
      </c>
      <c r="I27" t="s">
        <v>569</v>
      </c>
      <c r="J27" t="s">
        <v>569</v>
      </c>
      <c r="K27" t="s">
        <v>569</v>
      </c>
      <c r="L27" t="s">
        <v>569</v>
      </c>
      <c r="M27" t="s">
        <v>569</v>
      </c>
      <c r="N27" t="s">
        <v>569</v>
      </c>
      <c r="O27" t="s">
        <v>569</v>
      </c>
      <c r="P27" t="s">
        <v>569</v>
      </c>
      <c r="Q27" t="s">
        <v>569</v>
      </c>
      <c r="R27">
        <v>49.6</v>
      </c>
      <c r="S27" t="s">
        <v>1213</v>
      </c>
      <c r="T27">
        <v>-114.41</v>
      </c>
      <c r="U27" t="s">
        <v>1206</v>
      </c>
      <c r="V27" t="s">
        <v>569</v>
      </c>
      <c r="W27" t="s">
        <v>569</v>
      </c>
      <c r="X27" t="s">
        <v>569</v>
      </c>
      <c r="Y27" t="s">
        <v>569</v>
      </c>
      <c r="Z27" t="s">
        <v>569</v>
      </c>
      <c r="AA27" t="s">
        <v>569</v>
      </c>
      <c r="AB27">
        <v>5000</v>
      </c>
      <c r="AC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" spans="1:29" x14ac:dyDescent="0.25">
      <c r="A28" t="s">
        <v>569</v>
      </c>
      <c r="B28" t="s">
        <v>1016</v>
      </c>
      <c r="C28" t="s">
        <v>504</v>
      </c>
      <c r="D28" t="s">
        <v>501</v>
      </c>
      <c r="E28" t="s">
        <v>502</v>
      </c>
      <c r="F28" t="s">
        <v>569</v>
      </c>
      <c r="G28" t="s">
        <v>569</v>
      </c>
      <c r="H28" t="s">
        <v>569</v>
      </c>
      <c r="I28" t="s">
        <v>569</v>
      </c>
      <c r="J28" t="s">
        <v>569</v>
      </c>
      <c r="K28" t="s">
        <v>569</v>
      </c>
      <c r="L28" t="s">
        <v>569</v>
      </c>
      <c r="M28" t="s">
        <v>569</v>
      </c>
      <c r="N28" t="s">
        <v>569</v>
      </c>
      <c r="O28" t="s">
        <v>569</v>
      </c>
      <c r="P28" t="s">
        <v>569</v>
      </c>
      <c r="Q28" t="s">
        <v>569</v>
      </c>
      <c r="R28">
        <v>49</v>
      </c>
      <c r="S28" t="s">
        <v>1213</v>
      </c>
      <c r="T28">
        <v>-115.06</v>
      </c>
      <c r="U28" t="s">
        <v>1206</v>
      </c>
      <c r="V28" t="s">
        <v>569</v>
      </c>
      <c r="W28" t="s">
        <v>569</v>
      </c>
      <c r="X28" t="s">
        <v>569</v>
      </c>
      <c r="Y28" t="s">
        <v>569</v>
      </c>
      <c r="Z28" t="s">
        <v>569</v>
      </c>
      <c r="AA28" t="s">
        <v>569</v>
      </c>
      <c r="AB28">
        <v>5000</v>
      </c>
      <c r="AC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" spans="1:29" x14ac:dyDescent="0.25">
      <c r="A29" t="s">
        <v>569</v>
      </c>
      <c r="B29" t="s">
        <v>1017</v>
      </c>
      <c r="C29" t="s">
        <v>504</v>
      </c>
      <c r="D29" t="s">
        <v>501</v>
      </c>
      <c r="E29" t="s">
        <v>502</v>
      </c>
      <c r="F29" t="s">
        <v>569</v>
      </c>
      <c r="G29" t="s">
        <v>569</v>
      </c>
      <c r="H29" t="s">
        <v>569</v>
      </c>
      <c r="I29" t="s">
        <v>569</v>
      </c>
      <c r="J29" t="s">
        <v>569</v>
      </c>
      <c r="K29" t="s">
        <v>569</v>
      </c>
      <c r="L29" t="s">
        <v>569</v>
      </c>
      <c r="M29" t="s">
        <v>569</v>
      </c>
      <c r="N29" t="s">
        <v>569</v>
      </c>
      <c r="O29" t="s">
        <v>569</v>
      </c>
      <c r="P29" t="s">
        <v>569</v>
      </c>
      <c r="Q29" t="s">
        <v>569</v>
      </c>
      <c r="R29">
        <v>49.5</v>
      </c>
      <c r="S29" t="s">
        <v>1213</v>
      </c>
      <c r="T29">
        <v>-115.06</v>
      </c>
      <c r="U29" t="s">
        <v>1206</v>
      </c>
      <c r="V29" t="s">
        <v>569</v>
      </c>
      <c r="W29" t="s">
        <v>569</v>
      </c>
      <c r="X29" t="s">
        <v>569</v>
      </c>
      <c r="Y29" t="s">
        <v>569</v>
      </c>
      <c r="Z29" t="s">
        <v>569</v>
      </c>
      <c r="AA29" t="s">
        <v>569</v>
      </c>
      <c r="AB29">
        <v>5000</v>
      </c>
      <c r="AC2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" spans="1:29" x14ac:dyDescent="0.25">
      <c r="A30" t="s">
        <v>569</v>
      </c>
      <c r="B30" t="s">
        <v>1018</v>
      </c>
      <c r="C30" t="s">
        <v>1019</v>
      </c>
      <c r="D30" t="s">
        <v>652</v>
      </c>
      <c r="E30" t="s">
        <v>653</v>
      </c>
      <c r="F30" t="s">
        <v>569</v>
      </c>
      <c r="G30" t="s">
        <v>569</v>
      </c>
      <c r="H30" t="s">
        <v>569</v>
      </c>
      <c r="I30" t="s">
        <v>569</v>
      </c>
      <c r="J30" t="s">
        <v>569</v>
      </c>
      <c r="K30" t="s">
        <v>569</v>
      </c>
      <c r="L30" t="s">
        <v>569</v>
      </c>
      <c r="M30" t="s">
        <v>569</v>
      </c>
      <c r="N30" t="s">
        <v>569</v>
      </c>
      <c r="O30" t="s">
        <v>569</v>
      </c>
      <c r="P30" t="s">
        <v>569</v>
      </c>
      <c r="Q30" t="s">
        <v>569</v>
      </c>
      <c r="R30">
        <v>48.88</v>
      </c>
      <c r="S30" t="s">
        <v>1213</v>
      </c>
      <c r="T30">
        <v>-115.05</v>
      </c>
      <c r="U30" t="s">
        <v>1206</v>
      </c>
      <c r="V30" t="s">
        <v>569</v>
      </c>
      <c r="W30" t="s">
        <v>569</v>
      </c>
      <c r="X30" t="s">
        <v>569</v>
      </c>
      <c r="Y30" t="s">
        <v>569</v>
      </c>
      <c r="Z30" t="s">
        <v>569</v>
      </c>
      <c r="AA30" t="s">
        <v>569</v>
      </c>
      <c r="AB30">
        <v>5000</v>
      </c>
      <c r="AC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" spans="1:29" x14ac:dyDescent="0.25">
      <c r="A31" t="s">
        <v>569</v>
      </c>
      <c r="B31" t="s">
        <v>1020</v>
      </c>
      <c r="C31" t="s">
        <v>504</v>
      </c>
      <c r="D31" t="s">
        <v>501</v>
      </c>
      <c r="E31" t="s">
        <v>502</v>
      </c>
      <c r="F31" t="s">
        <v>569</v>
      </c>
      <c r="G31" t="s">
        <v>569</v>
      </c>
      <c r="H31" t="s">
        <v>569</v>
      </c>
      <c r="I31" t="s">
        <v>569</v>
      </c>
      <c r="J31" t="s">
        <v>569</v>
      </c>
      <c r="K31" t="s">
        <v>569</v>
      </c>
      <c r="L31" t="s">
        <v>569</v>
      </c>
      <c r="M31" t="s">
        <v>569</v>
      </c>
      <c r="N31" t="s">
        <v>569</v>
      </c>
      <c r="O31" t="s">
        <v>569</v>
      </c>
      <c r="P31" t="s">
        <v>569</v>
      </c>
      <c r="Q31" t="s">
        <v>569</v>
      </c>
      <c r="R31">
        <v>48.99</v>
      </c>
      <c r="S31" t="s">
        <v>1213</v>
      </c>
      <c r="T31">
        <v>-123.82</v>
      </c>
      <c r="U31" t="s">
        <v>1206</v>
      </c>
      <c r="V31" t="s">
        <v>569</v>
      </c>
      <c r="W31" t="s">
        <v>569</v>
      </c>
      <c r="X31" t="s">
        <v>569</v>
      </c>
      <c r="Y31" t="s">
        <v>569</v>
      </c>
      <c r="Z31" t="s">
        <v>569</v>
      </c>
      <c r="AA31" t="s">
        <v>569</v>
      </c>
      <c r="AB31">
        <v>5000</v>
      </c>
      <c r="AC3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" spans="1:29" x14ac:dyDescent="0.25">
      <c r="A32" t="s">
        <v>569</v>
      </c>
      <c r="B32" t="s">
        <v>516</v>
      </c>
      <c r="C32" t="s">
        <v>504</v>
      </c>
      <c r="D32" t="s">
        <v>501</v>
      </c>
      <c r="E32" t="s">
        <v>502</v>
      </c>
      <c r="F32" t="s">
        <v>569</v>
      </c>
      <c r="G32" t="s">
        <v>569</v>
      </c>
      <c r="H32" t="s">
        <v>569</v>
      </c>
      <c r="I32" t="s">
        <v>569</v>
      </c>
      <c r="J32" t="s">
        <v>569</v>
      </c>
      <c r="K32" t="s">
        <v>569</v>
      </c>
      <c r="L32" t="s">
        <v>569</v>
      </c>
      <c r="M32" t="s">
        <v>569</v>
      </c>
      <c r="N32" t="s">
        <v>569</v>
      </c>
      <c r="O32" t="s">
        <v>569</v>
      </c>
      <c r="P32" t="s">
        <v>569</v>
      </c>
      <c r="Q32" t="s">
        <v>569</v>
      </c>
      <c r="R32">
        <v>49.24</v>
      </c>
      <c r="S32" t="s">
        <v>1213</v>
      </c>
      <c r="T32">
        <v>-122.97</v>
      </c>
      <c r="U32" t="s">
        <v>1206</v>
      </c>
      <c r="V32" t="s">
        <v>569</v>
      </c>
      <c r="W32" t="s">
        <v>569</v>
      </c>
      <c r="X32" t="s">
        <v>569</v>
      </c>
      <c r="Y32" t="s">
        <v>569</v>
      </c>
      <c r="Z32" t="s">
        <v>569</v>
      </c>
      <c r="AA32" t="s">
        <v>569</v>
      </c>
      <c r="AB32">
        <v>5000</v>
      </c>
      <c r="AC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" spans="1:29" x14ac:dyDescent="0.25">
      <c r="A33" t="s">
        <v>569</v>
      </c>
      <c r="B33" t="s">
        <v>1208</v>
      </c>
      <c r="C33" t="s">
        <v>1269</v>
      </c>
      <c r="D33" t="s">
        <v>501</v>
      </c>
      <c r="E33" t="s">
        <v>502</v>
      </c>
      <c r="F33" t="s">
        <v>569</v>
      </c>
      <c r="G33" t="s">
        <v>569</v>
      </c>
      <c r="H33" t="s">
        <v>569</v>
      </c>
      <c r="I33" t="s">
        <v>569</v>
      </c>
      <c r="J33" t="s">
        <v>569</v>
      </c>
      <c r="K33" t="s">
        <v>569</v>
      </c>
      <c r="L33" t="s">
        <v>569</v>
      </c>
      <c r="M33" t="s">
        <v>569</v>
      </c>
      <c r="N33" t="s">
        <v>569</v>
      </c>
      <c r="O33" t="s">
        <v>569</v>
      </c>
      <c r="P33" t="s">
        <v>569</v>
      </c>
      <c r="Q33" t="s">
        <v>569</v>
      </c>
      <c r="R33">
        <v>50.45</v>
      </c>
      <c r="S33" t="s">
        <v>1213</v>
      </c>
      <c r="T33">
        <v>-104.62</v>
      </c>
      <c r="U33" t="s">
        <v>1206</v>
      </c>
      <c r="V33" t="s">
        <v>569</v>
      </c>
      <c r="W33" t="s">
        <v>569</v>
      </c>
      <c r="X33" t="s">
        <v>569</v>
      </c>
      <c r="Y33" t="s">
        <v>569</v>
      </c>
      <c r="Z33" t="s">
        <v>569</v>
      </c>
      <c r="AA33" t="s">
        <v>569</v>
      </c>
      <c r="AB33">
        <v>5000</v>
      </c>
      <c r="AC3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" spans="1:29" x14ac:dyDescent="0.25">
      <c r="A34" t="s">
        <v>569</v>
      </c>
      <c r="B34" t="s">
        <v>1021</v>
      </c>
      <c r="C34" t="s">
        <v>1269</v>
      </c>
      <c r="D34" t="s">
        <v>501</v>
      </c>
      <c r="E34" t="s">
        <v>502</v>
      </c>
      <c r="F34" t="s">
        <v>569</v>
      </c>
      <c r="G34" t="s">
        <v>569</v>
      </c>
      <c r="H34" t="s">
        <v>569</v>
      </c>
      <c r="I34" t="s">
        <v>569</v>
      </c>
      <c r="J34" t="s">
        <v>569</v>
      </c>
      <c r="K34" t="s">
        <v>569</v>
      </c>
      <c r="L34" t="s">
        <v>569</v>
      </c>
      <c r="M34" t="s">
        <v>569</v>
      </c>
      <c r="N34" t="s">
        <v>569</v>
      </c>
      <c r="O34" t="s">
        <v>569</v>
      </c>
      <c r="P34" t="s">
        <v>569</v>
      </c>
      <c r="Q34" t="s">
        <v>569</v>
      </c>
      <c r="R34">
        <v>50.4</v>
      </c>
      <c r="S34" t="s">
        <v>1213</v>
      </c>
      <c r="T34">
        <v>-105.55</v>
      </c>
      <c r="U34" t="s">
        <v>1206</v>
      </c>
      <c r="V34" t="s">
        <v>569</v>
      </c>
      <c r="W34" t="s">
        <v>569</v>
      </c>
      <c r="X34" t="s">
        <v>569</v>
      </c>
      <c r="Y34" t="s">
        <v>569</v>
      </c>
      <c r="Z34" t="s">
        <v>569</v>
      </c>
      <c r="AA34" t="s">
        <v>569</v>
      </c>
      <c r="AB34">
        <v>5000</v>
      </c>
      <c r="AC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" spans="1:29" x14ac:dyDescent="0.25">
      <c r="A35" t="s">
        <v>569</v>
      </c>
      <c r="B35" t="s">
        <v>1022</v>
      </c>
      <c r="C35" t="s">
        <v>1015</v>
      </c>
      <c r="D35" t="s">
        <v>501</v>
      </c>
      <c r="E35" t="s">
        <v>502</v>
      </c>
      <c r="F35" t="s">
        <v>569</v>
      </c>
      <c r="G35" t="s">
        <v>569</v>
      </c>
      <c r="H35" t="s">
        <v>569</v>
      </c>
      <c r="I35" t="s">
        <v>569</v>
      </c>
      <c r="J35" t="s">
        <v>569</v>
      </c>
      <c r="K35" t="s">
        <v>569</v>
      </c>
      <c r="L35" t="s">
        <v>569</v>
      </c>
      <c r="M35" t="s">
        <v>569</v>
      </c>
      <c r="N35" t="s">
        <v>569</v>
      </c>
      <c r="O35" t="s">
        <v>569</v>
      </c>
      <c r="P35" t="s">
        <v>569</v>
      </c>
      <c r="Q35" t="s">
        <v>569</v>
      </c>
      <c r="R35">
        <v>49.69</v>
      </c>
      <c r="S35" t="s">
        <v>1213</v>
      </c>
      <c r="T35">
        <v>-112.83</v>
      </c>
      <c r="U35" t="s">
        <v>1206</v>
      </c>
      <c r="V35" t="s">
        <v>569</v>
      </c>
      <c r="W35" t="s">
        <v>569</v>
      </c>
      <c r="X35" t="s">
        <v>569</v>
      </c>
      <c r="Y35" t="s">
        <v>569</v>
      </c>
      <c r="Z35" t="s">
        <v>569</v>
      </c>
      <c r="AA35" t="s">
        <v>569</v>
      </c>
      <c r="AB35">
        <v>5000</v>
      </c>
      <c r="AC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" spans="1:29" x14ac:dyDescent="0.25">
      <c r="A36" t="s">
        <v>569</v>
      </c>
      <c r="B36" t="s">
        <v>1270</v>
      </c>
      <c r="C36" t="s">
        <v>1015</v>
      </c>
      <c r="D36" t="s">
        <v>501</v>
      </c>
      <c r="E36" t="s">
        <v>502</v>
      </c>
      <c r="F36" t="s">
        <v>569</v>
      </c>
      <c r="G36" t="s">
        <v>569</v>
      </c>
      <c r="H36" t="s">
        <v>569</v>
      </c>
      <c r="I36" t="s">
        <v>569</v>
      </c>
      <c r="J36" t="s">
        <v>569</v>
      </c>
      <c r="K36" t="s">
        <v>569</v>
      </c>
      <c r="L36" t="s">
        <v>569</v>
      </c>
      <c r="M36" t="s">
        <v>569</v>
      </c>
      <c r="N36" t="s">
        <v>569</v>
      </c>
      <c r="O36" t="s">
        <v>569</v>
      </c>
      <c r="P36" t="s">
        <v>569</v>
      </c>
      <c r="Q36" t="s">
        <v>569</v>
      </c>
      <c r="R36">
        <v>53.6</v>
      </c>
      <c r="S36" t="s">
        <v>1213</v>
      </c>
      <c r="T36">
        <v>-113.42</v>
      </c>
      <c r="U36" t="s">
        <v>1206</v>
      </c>
      <c r="V36" t="s">
        <v>569</v>
      </c>
      <c r="W36" t="s">
        <v>569</v>
      </c>
      <c r="X36" t="s">
        <v>569</v>
      </c>
      <c r="Y36" t="s">
        <v>569</v>
      </c>
      <c r="Z36" t="s">
        <v>569</v>
      </c>
      <c r="AA36" t="s">
        <v>569</v>
      </c>
      <c r="AB36">
        <v>5000</v>
      </c>
      <c r="AC3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" spans="1:29" x14ac:dyDescent="0.25">
      <c r="A37" t="s">
        <v>569</v>
      </c>
      <c r="B37" t="s">
        <v>5</v>
      </c>
      <c r="C37" t="s">
        <v>504</v>
      </c>
      <c r="D37" t="s">
        <v>501</v>
      </c>
      <c r="E37" t="s">
        <v>502</v>
      </c>
      <c r="F37" t="s">
        <v>569</v>
      </c>
      <c r="G37" t="s">
        <v>569</v>
      </c>
      <c r="H37" t="s">
        <v>569</v>
      </c>
      <c r="I37" t="s">
        <v>569</v>
      </c>
      <c r="J37" t="s">
        <v>569</v>
      </c>
      <c r="K37" t="s">
        <v>569</v>
      </c>
      <c r="L37" t="s">
        <v>569</v>
      </c>
      <c r="M37" t="s">
        <v>569</v>
      </c>
      <c r="N37" t="s">
        <v>569</v>
      </c>
      <c r="O37" t="s">
        <v>569</v>
      </c>
      <c r="P37" t="s">
        <v>569</v>
      </c>
      <c r="Q37" t="s">
        <v>569</v>
      </c>
      <c r="R37">
        <v>48.78</v>
      </c>
      <c r="S37" t="s">
        <v>1213</v>
      </c>
      <c r="T37">
        <v>-123.71</v>
      </c>
      <c r="U37" t="s">
        <v>1206</v>
      </c>
      <c r="V37" t="s">
        <v>569</v>
      </c>
      <c r="W37" t="s">
        <v>569</v>
      </c>
      <c r="X37" t="s">
        <v>569</v>
      </c>
      <c r="Y37" t="s">
        <v>569</v>
      </c>
      <c r="Z37" t="s">
        <v>569</v>
      </c>
      <c r="AA37" t="s">
        <v>569</v>
      </c>
      <c r="AB37">
        <v>5000</v>
      </c>
      <c r="AC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" spans="1:29" x14ac:dyDescent="0.25">
      <c r="A38" t="s">
        <v>569</v>
      </c>
      <c r="B38" t="s">
        <v>557</v>
      </c>
      <c r="C38" t="s">
        <v>504</v>
      </c>
      <c r="D38" t="s">
        <v>501</v>
      </c>
      <c r="E38" t="s">
        <v>502</v>
      </c>
      <c r="F38" t="s">
        <v>569</v>
      </c>
      <c r="G38" t="s">
        <v>569</v>
      </c>
      <c r="H38" t="s">
        <v>569</v>
      </c>
      <c r="I38" t="s">
        <v>569</v>
      </c>
      <c r="J38" t="s">
        <v>569</v>
      </c>
      <c r="K38" t="s">
        <v>569</v>
      </c>
      <c r="L38" t="s">
        <v>569</v>
      </c>
      <c r="M38" t="s">
        <v>569</v>
      </c>
      <c r="N38" t="s">
        <v>569</v>
      </c>
      <c r="O38" t="s">
        <v>569</v>
      </c>
      <c r="P38" t="s">
        <v>569</v>
      </c>
      <c r="Q38" t="s">
        <v>569</v>
      </c>
      <c r="R38">
        <v>49.84</v>
      </c>
      <c r="S38" t="s">
        <v>1213</v>
      </c>
      <c r="T38">
        <v>-124.52</v>
      </c>
      <c r="U38" t="s">
        <v>1206</v>
      </c>
      <c r="V38" t="s">
        <v>569</v>
      </c>
      <c r="W38" t="s">
        <v>569</v>
      </c>
      <c r="X38" t="s">
        <v>569</v>
      </c>
      <c r="Y38" t="s">
        <v>569</v>
      </c>
      <c r="Z38" t="s">
        <v>569</v>
      </c>
      <c r="AA38" t="s">
        <v>569</v>
      </c>
      <c r="AB38">
        <v>5000</v>
      </c>
      <c r="AC3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" spans="1:29" x14ac:dyDescent="0.25">
      <c r="A39" t="s">
        <v>569</v>
      </c>
      <c r="B39" t="s">
        <v>1271</v>
      </c>
      <c r="C39" t="s">
        <v>1015</v>
      </c>
      <c r="D39" t="s">
        <v>501</v>
      </c>
      <c r="E39" t="s">
        <v>502</v>
      </c>
      <c r="F39" t="s">
        <v>569</v>
      </c>
      <c r="G39" t="s">
        <v>569</v>
      </c>
      <c r="H39" t="s">
        <v>569</v>
      </c>
      <c r="I39" t="s">
        <v>569</v>
      </c>
      <c r="J39" t="s">
        <v>569</v>
      </c>
      <c r="K39" t="s">
        <v>569</v>
      </c>
      <c r="L39" t="s">
        <v>569</v>
      </c>
      <c r="M39" t="s">
        <v>569</v>
      </c>
      <c r="N39" t="s">
        <v>569</v>
      </c>
      <c r="O39" t="s">
        <v>569</v>
      </c>
      <c r="P39" t="s">
        <v>569</v>
      </c>
      <c r="Q39" t="s">
        <v>569</v>
      </c>
      <c r="R39">
        <v>51.42</v>
      </c>
      <c r="S39" t="s">
        <v>1213</v>
      </c>
      <c r="T39">
        <v>-116.18</v>
      </c>
      <c r="U39" t="s">
        <v>1206</v>
      </c>
      <c r="V39" t="s">
        <v>569</v>
      </c>
      <c r="W39" t="s">
        <v>569</v>
      </c>
      <c r="X39" t="s">
        <v>569</v>
      </c>
      <c r="Y39" t="s">
        <v>569</v>
      </c>
      <c r="Z39" t="s">
        <v>569</v>
      </c>
      <c r="AA39" t="s">
        <v>569</v>
      </c>
      <c r="AB39">
        <v>5000</v>
      </c>
      <c r="AC3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" spans="1:29" x14ac:dyDescent="0.25">
      <c r="A40" t="s">
        <v>569</v>
      </c>
      <c r="B40" t="s">
        <v>1023</v>
      </c>
      <c r="C40" t="s">
        <v>1015</v>
      </c>
      <c r="D40" t="s">
        <v>501</v>
      </c>
      <c r="E40" t="s">
        <v>502</v>
      </c>
      <c r="F40" t="s">
        <v>569</v>
      </c>
      <c r="G40" t="s">
        <v>569</v>
      </c>
      <c r="H40" t="s">
        <v>569</v>
      </c>
      <c r="I40" t="s">
        <v>569</v>
      </c>
      <c r="J40" t="s">
        <v>569</v>
      </c>
      <c r="K40" t="s">
        <v>569</v>
      </c>
      <c r="L40" t="s">
        <v>569</v>
      </c>
      <c r="M40" t="s">
        <v>569</v>
      </c>
      <c r="N40" t="s">
        <v>569</v>
      </c>
      <c r="O40" t="s">
        <v>569</v>
      </c>
      <c r="P40" t="s">
        <v>569</v>
      </c>
      <c r="Q40" t="s">
        <v>569</v>
      </c>
      <c r="R40">
        <v>51.09</v>
      </c>
      <c r="S40" t="s">
        <v>1213</v>
      </c>
      <c r="T40">
        <v>-115.36</v>
      </c>
      <c r="U40" t="s">
        <v>1206</v>
      </c>
      <c r="V40" t="s">
        <v>569</v>
      </c>
      <c r="W40" t="s">
        <v>569</v>
      </c>
      <c r="X40" t="s">
        <v>569</v>
      </c>
      <c r="Y40" t="s">
        <v>569</v>
      </c>
      <c r="Z40" t="s">
        <v>569</v>
      </c>
      <c r="AA40" t="s">
        <v>569</v>
      </c>
      <c r="AB40">
        <v>5000</v>
      </c>
      <c r="AC4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" spans="1:29" x14ac:dyDescent="0.25">
      <c r="A41" t="s">
        <v>569</v>
      </c>
      <c r="B41" t="s">
        <v>1272</v>
      </c>
      <c r="C41" t="s">
        <v>504</v>
      </c>
      <c r="D41" t="s">
        <v>501</v>
      </c>
      <c r="E41" t="s">
        <v>502</v>
      </c>
      <c r="F41" t="s">
        <v>569</v>
      </c>
      <c r="G41" t="s">
        <v>569</v>
      </c>
      <c r="H41" t="s">
        <v>569</v>
      </c>
      <c r="I41" t="s">
        <v>569</v>
      </c>
      <c r="J41" t="s">
        <v>569</v>
      </c>
      <c r="K41" t="s">
        <v>569</v>
      </c>
      <c r="L41" t="s">
        <v>569</v>
      </c>
      <c r="M41" t="s">
        <v>569</v>
      </c>
      <c r="N41" t="s">
        <v>569</v>
      </c>
      <c r="O41" t="s">
        <v>569</v>
      </c>
      <c r="P41" t="s">
        <v>569</v>
      </c>
      <c r="Q41" t="s">
        <v>569</v>
      </c>
      <c r="R41">
        <v>49.65</v>
      </c>
      <c r="S41" t="s">
        <v>1213</v>
      </c>
      <c r="T41">
        <v>-124.37</v>
      </c>
      <c r="U41" t="s">
        <v>1206</v>
      </c>
      <c r="V41" t="s">
        <v>569</v>
      </c>
      <c r="W41" t="s">
        <v>569</v>
      </c>
      <c r="X41" t="s">
        <v>569</v>
      </c>
      <c r="Y41" t="s">
        <v>569</v>
      </c>
      <c r="Z41" t="s">
        <v>569</v>
      </c>
      <c r="AA41" t="s">
        <v>569</v>
      </c>
      <c r="AB41">
        <v>5000</v>
      </c>
      <c r="AC4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" spans="1:29" x14ac:dyDescent="0.25">
      <c r="A42" t="s">
        <v>569</v>
      </c>
      <c r="B42" t="s">
        <v>1212</v>
      </c>
      <c r="C42" t="s">
        <v>504</v>
      </c>
      <c r="D42" t="s">
        <v>501</v>
      </c>
      <c r="E42" t="s">
        <v>502</v>
      </c>
      <c r="F42" t="s">
        <v>569</v>
      </c>
      <c r="G42" t="s">
        <v>569</v>
      </c>
      <c r="H42" t="s">
        <v>569</v>
      </c>
      <c r="I42" t="s">
        <v>569</v>
      </c>
      <c r="J42" t="s">
        <v>569</v>
      </c>
      <c r="K42" t="s">
        <v>569</v>
      </c>
      <c r="L42" t="s">
        <v>569</v>
      </c>
      <c r="M42" t="s">
        <v>569</v>
      </c>
      <c r="N42" t="s">
        <v>569</v>
      </c>
      <c r="O42" t="s">
        <v>569</v>
      </c>
      <c r="P42" t="s">
        <v>569</v>
      </c>
      <c r="Q42" t="s">
        <v>569</v>
      </c>
      <c r="R42">
        <v>49.05</v>
      </c>
      <c r="S42" t="s">
        <v>1213</v>
      </c>
      <c r="T42">
        <v>-122.33</v>
      </c>
      <c r="U42" t="s">
        <v>1206</v>
      </c>
      <c r="V42" t="s">
        <v>569</v>
      </c>
      <c r="W42" t="s">
        <v>569</v>
      </c>
      <c r="X42" t="s">
        <v>569</v>
      </c>
      <c r="Y42" t="s">
        <v>569</v>
      </c>
      <c r="Z42" t="s">
        <v>569</v>
      </c>
      <c r="AA42" t="s">
        <v>569</v>
      </c>
      <c r="AB42">
        <v>5000</v>
      </c>
      <c r="AC4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" spans="1:29" x14ac:dyDescent="0.25">
      <c r="A43" t="s">
        <v>569</v>
      </c>
      <c r="B43" t="s">
        <v>753</v>
      </c>
      <c r="C43" t="s">
        <v>504</v>
      </c>
      <c r="D43" t="s">
        <v>501</v>
      </c>
      <c r="E43" t="s">
        <v>502</v>
      </c>
      <c r="F43" t="s">
        <v>569</v>
      </c>
      <c r="G43" t="s">
        <v>569</v>
      </c>
      <c r="H43" t="s">
        <v>569</v>
      </c>
      <c r="I43" t="s">
        <v>569</v>
      </c>
      <c r="J43" t="s">
        <v>569</v>
      </c>
      <c r="K43" t="s">
        <v>569</v>
      </c>
      <c r="L43" t="s">
        <v>569</v>
      </c>
      <c r="M43" t="s">
        <v>569</v>
      </c>
      <c r="N43" t="s">
        <v>569</v>
      </c>
      <c r="O43" t="s">
        <v>569</v>
      </c>
      <c r="P43" t="s">
        <v>569</v>
      </c>
      <c r="Q43" t="s">
        <v>569</v>
      </c>
      <c r="R43">
        <v>49.16</v>
      </c>
      <c r="S43" t="s">
        <v>1213</v>
      </c>
      <c r="T43">
        <v>-123.14</v>
      </c>
      <c r="U43" t="s">
        <v>1206</v>
      </c>
      <c r="V43" t="s">
        <v>569</v>
      </c>
      <c r="W43" t="s">
        <v>569</v>
      </c>
      <c r="X43" t="s">
        <v>569</v>
      </c>
      <c r="Y43" t="s">
        <v>569</v>
      </c>
      <c r="Z43" t="s">
        <v>569</v>
      </c>
      <c r="AA43" t="s">
        <v>569</v>
      </c>
      <c r="AB43">
        <v>5000</v>
      </c>
      <c r="AC4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" spans="1:29" x14ac:dyDescent="0.25">
      <c r="A44" t="s">
        <v>569</v>
      </c>
      <c r="B44" t="s">
        <v>1273</v>
      </c>
      <c r="C44" t="s">
        <v>1207</v>
      </c>
      <c r="D44" t="s">
        <v>652</v>
      </c>
      <c r="E44" t="s">
        <v>653</v>
      </c>
      <c r="F44" t="s">
        <v>569</v>
      </c>
      <c r="G44" t="s">
        <v>569</v>
      </c>
      <c r="H44" t="s">
        <v>569</v>
      </c>
      <c r="I44" t="s">
        <v>569</v>
      </c>
      <c r="J44" t="s">
        <v>569</v>
      </c>
      <c r="K44" t="s">
        <v>569</v>
      </c>
      <c r="L44" t="s">
        <v>569</v>
      </c>
      <c r="M44" t="s">
        <v>569</v>
      </c>
      <c r="N44" t="s">
        <v>569</v>
      </c>
      <c r="O44" t="s">
        <v>569</v>
      </c>
      <c r="P44" t="s">
        <v>569</v>
      </c>
      <c r="Q44" t="s">
        <v>569</v>
      </c>
      <c r="R44">
        <v>35.450000000000003</v>
      </c>
      <c r="S44" t="s">
        <v>1213</v>
      </c>
      <c r="T44">
        <v>-97.4</v>
      </c>
      <c r="U44" t="s">
        <v>1206</v>
      </c>
      <c r="V44" t="s">
        <v>569</v>
      </c>
      <c r="W44" t="s">
        <v>569</v>
      </c>
      <c r="X44" t="s">
        <v>569</v>
      </c>
      <c r="Y44" t="s">
        <v>569</v>
      </c>
      <c r="Z44" t="s">
        <v>569</v>
      </c>
      <c r="AA44" t="s">
        <v>569</v>
      </c>
      <c r="AB44">
        <v>5000</v>
      </c>
      <c r="AC4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" spans="1:29" x14ac:dyDescent="0.25">
      <c r="A45" t="s">
        <v>569</v>
      </c>
      <c r="B45" t="s">
        <v>820</v>
      </c>
      <c r="C45" t="s">
        <v>504</v>
      </c>
      <c r="D45" t="s">
        <v>501</v>
      </c>
      <c r="E45" t="s">
        <v>502</v>
      </c>
      <c r="F45" t="s">
        <v>569</v>
      </c>
      <c r="G45" t="s">
        <v>569</v>
      </c>
      <c r="H45" t="s">
        <v>569</v>
      </c>
      <c r="I45" t="s">
        <v>569</v>
      </c>
      <c r="J45" t="s">
        <v>569</v>
      </c>
      <c r="K45" t="s">
        <v>569</v>
      </c>
      <c r="L45" t="s">
        <v>569</v>
      </c>
      <c r="M45" t="s">
        <v>569</v>
      </c>
      <c r="N45" t="s">
        <v>569</v>
      </c>
      <c r="O45" t="s">
        <v>569</v>
      </c>
      <c r="P45" t="s">
        <v>569</v>
      </c>
      <c r="Q45" t="s">
        <v>569</v>
      </c>
      <c r="R45">
        <v>48.43</v>
      </c>
      <c r="S45" t="s">
        <v>1213</v>
      </c>
      <c r="T45">
        <v>-123.41</v>
      </c>
      <c r="U45" t="s">
        <v>1206</v>
      </c>
      <c r="V45" t="s">
        <v>569</v>
      </c>
      <c r="W45" t="s">
        <v>569</v>
      </c>
      <c r="X45" t="s">
        <v>569</v>
      </c>
      <c r="Y45" t="s">
        <v>569</v>
      </c>
      <c r="Z45" t="s">
        <v>569</v>
      </c>
      <c r="AA45" t="s">
        <v>569</v>
      </c>
      <c r="AB45">
        <v>5000</v>
      </c>
      <c r="AC4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" spans="1:29" x14ac:dyDescent="0.25">
      <c r="A46" t="s">
        <v>569</v>
      </c>
      <c r="B46" t="s">
        <v>1274</v>
      </c>
      <c r="C46" t="s">
        <v>1015</v>
      </c>
      <c r="D46" t="s">
        <v>501</v>
      </c>
      <c r="E46" t="s">
        <v>502</v>
      </c>
      <c r="F46" t="s">
        <v>569</v>
      </c>
      <c r="G46" t="s">
        <v>569</v>
      </c>
      <c r="H46" t="s">
        <v>569</v>
      </c>
      <c r="I46" t="s">
        <v>569</v>
      </c>
      <c r="J46" t="s">
        <v>569</v>
      </c>
      <c r="K46" t="s">
        <v>569</v>
      </c>
      <c r="L46" t="s">
        <v>569</v>
      </c>
      <c r="M46" t="s">
        <v>569</v>
      </c>
      <c r="N46" t="s">
        <v>569</v>
      </c>
      <c r="O46" t="s">
        <v>569</v>
      </c>
      <c r="P46" t="s">
        <v>569</v>
      </c>
      <c r="Q46" t="s">
        <v>569</v>
      </c>
      <c r="R46">
        <v>49.64</v>
      </c>
      <c r="S46" t="s">
        <v>1213</v>
      </c>
      <c r="T46">
        <v>-114.5</v>
      </c>
      <c r="U46" t="s">
        <v>1206</v>
      </c>
      <c r="V46" t="s">
        <v>569</v>
      </c>
      <c r="W46" t="s">
        <v>569</v>
      </c>
      <c r="X46" t="s">
        <v>569</v>
      </c>
      <c r="Y46" t="s">
        <v>569</v>
      </c>
      <c r="Z46" t="s">
        <v>569</v>
      </c>
      <c r="AA46" t="s">
        <v>569</v>
      </c>
      <c r="AB46">
        <v>5000</v>
      </c>
      <c r="AC4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" spans="1:29" x14ac:dyDescent="0.25">
      <c r="A47" t="s">
        <v>569</v>
      </c>
      <c r="B47" t="s">
        <v>1024</v>
      </c>
      <c r="C47" t="s">
        <v>504</v>
      </c>
      <c r="D47" t="s">
        <v>501</v>
      </c>
      <c r="E47" t="s">
        <v>502</v>
      </c>
      <c r="F47" t="s">
        <v>569</v>
      </c>
      <c r="G47" t="s">
        <v>569</v>
      </c>
      <c r="H47" t="s">
        <v>569</v>
      </c>
      <c r="I47" t="s">
        <v>569</v>
      </c>
      <c r="J47" t="s">
        <v>569</v>
      </c>
      <c r="K47" t="s">
        <v>569</v>
      </c>
      <c r="L47" t="s">
        <v>569</v>
      </c>
      <c r="M47" t="s">
        <v>569</v>
      </c>
      <c r="N47" t="s">
        <v>569</v>
      </c>
      <c r="O47" t="s">
        <v>569</v>
      </c>
      <c r="P47" t="s">
        <v>569</v>
      </c>
      <c r="Q47" t="s">
        <v>569</v>
      </c>
      <c r="R47">
        <v>49.03</v>
      </c>
      <c r="S47" t="s">
        <v>1213</v>
      </c>
      <c r="T47">
        <v>-119.47</v>
      </c>
      <c r="U47" t="s">
        <v>1206</v>
      </c>
      <c r="V47" t="s">
        <v>569</v>
      </c>
      <c r="W47" t="s">
        <v>569</v>
      </c>
      <c r="X47" t="s">
        <v>569</v>
      </c>
      <c r="Y47" t="s">
        <v>569</v>
      </c>
      <c r="Z47" t="s">
        <v>569</v>
      </c>
      <c r="AA47" t="s">
        <v>569</v>
      </c>
      <c r="AB47">
        <v>5000</v>
      </c>
      <c r="AC4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" spans="1:29" x14ac:dyDescent="0.25">
      <c r="A48" t="s">
        <v>569</v>
      </c>
      <c r="B48" t="s">
        <v>1275</v>
      </c>
      <c r="C48" t="s">
        <v>504</v>
      </c>
      <c r="D48" t="s">
        <v>501</v>
      </c>
      <c r="E48" t="s">
        <v>502</v>
      </c>
      <c r="F48" t="s">
        <v>569</v>
      </c>
      <c r="G48" t="s">
        <v>569</v>
      </c>
      <c r="H48" t="s">
        <v>569</v>
      </c>
      <c r="I48" t="s">
        <v>569</v>
      </c>
      <c r="J48" t="s">
        <v>569</v>
      </c>
      <c r="K48" t="s">
        <v>569</v>
      </c>
      <c r="L48" t="s">
        <v>569</v>
      </c>
      <c r="M48" t="s">
        <v>569</v>
      </c>
      <c r="N48" t="s">
        <v>569</v>
      </c>
      <c r="O48" t="s">
        <v>569</v>
      </c>
      <c r="P48" t="s">
        <v>569</v>
      </c>
      <c r="Q48" t="s">
        <v>569</v>
      </c>
      <c r="R48">
        <v>50.58</v>
      </c>
      <c r="S48" t="s">
        <v>1213</v>
      </c>
      <c r="T48">
        <v>-126.92</v>
      </c>
      <c r="U48" t="s">
        <v>1206</v>
      </c>
      <c r="V48" t="s">
        <v>569</v>
      </c>
      <c r="W48" t="s">
        <v>569</v>
      </c>
      <c r="X48" t="s">
        <v>569</v>
      </c>
      <c r="Y48" t="s">
        <v>569</v>
      </c>
      <c r="Z48" t="s">
        <v>569</v>
      </c>
      <c r="AA48" t="s">
        <v>569</v>
      </c>
      <c r="AB48">
        <v>5000</v>
      </c>
      <c r="AC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" spans="1:29" x14ac:dyDescent="0.25">
      <c r="A49" t="s">
        <v>569</v>
      </c>
      <c r="B49" t="s">
        <v>1276</v>
      </c>
      <c r="C49" t="s">
        <v>504</v>
      </c>
      <c r="D49" t="s">
        <v>501</v>
      </c>
      <c r="E49" t="s">
        <v>502</v>
      </c>
      <c r="F49" t="s">
        <v>569</v>
      </c>
      <c r="G49" t="s">
        <v>569</v>
      </c>
      <c r="H49" t="s">
        <v>569</v>
      </c>
      <c r="I49" t="s">
        <v>569</v>
      </c>
      <c r="J49" t="s">
        <v>569</v>
      </c>
      <c r="K49" t="s">
        <v>569</v>
      </c>
      <c r="L49" t="s">
        <v>569</v>
      </c>
      <c r="M49" t="s">
        <v>569</v>
      </c>
      <c r="N49" t="s">
        <v>569</v>
      </c>
      <c r="O49" t="s">
        <v>569</v>
      </c>
      <c r="P49" t="s">
        <v>569</v>
      </c>
      <c r="Q49" t="s">
        <v>569</v>
      </c>
      <c r="R49">
        <v>50.59</v>
      </c>
      <c r="S49" t="s">
        <v>1213</v>
      </c>
      <c r="T49">
        <v>-127.08</v>
      </c>
      <c r="U49" t="s">
        <v>1206</v>
      </c>
      <c r="V49" t="s">
        <v>569</v>
      </c>
      <c r="W49" t="s">
        <v>569</v>
      </c>
      <c r="X49" t="s">
        <v>569</v>
      </c>
      <c r="Y49" t="s">
        <v>569</v>
      </c>
      <c r="Z49" t="s">
        <v>569</v>
      </c>
      <c r="AA49" t="s">
        <v>569</v>
      </c>
      <c r="AB49">
        <v>5000</v>
      </c>
      <c r="AC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" spans="1:29" x14ac:dyDescent="0.25">
      <c r="A50" t="s">
        <v>569</v>
      </c>
      <c r="B50" t="s">
        <v>631</v>
      </c>
      <c r="C50" t="s">
        <v>504</v>
      </c>
      <c r="D50" t="s">
        <v>501</v>
      </c>
      <c r="E50" t="s">
        <v>502</v>
      </c>
      <c r="F50" t="s">
        <v>569</v>
      </c>
      <c r="G50" t="s">
        <v>569</v>
      </c>
      <c r="H50" t="s">
        <v>569</v>
      </c>
      <c r="I50" t="s">
        <v>569</v>
      </c>
      <c r="J50" t="s">
        <v>569</v>
      </c>
      <c r="K50" t="s">
        <v>569</v>
      </c>
      <c r="L50" t="s">
        <v>569</v>
      </c>
      <c r="M50" t="s">
        <v>569</v>
      </c>
      <c r="N50" t="s">
        <v>569</v>
      </c>
      <c r="O50" t="s">
        <v>569</v>
      </c>
      <c r="P50" t="s">
        <v>569</v>
      </c>
      <c r="Q50" t="s">
        <v>569</v>
      </c>
      <c r="R50">
        <v>50.02</v>
      </c>
      <c r="S50" t="s">
        <v>1213</v>
      </c>
      <c r="T50">
        <v>-125.24</v>
      </c>
      <c r="U50" t="s">
        <v>1206</v>
      </c>
      <c r="V50" t="s">
        <v>569</v>
      </c>
      <c r="W50" t="s">
        <v>569</v>
      </c>
      <c r="X50" t="s">
        <v>569</v>
      </c>
      <c r="Y50" t="s">
        <v>569</v>
      </c>
      <c r="Z50" t="s">
        <v>569</v>
      </c>
      <c r="AA50" t="s">
        <v>569</v>
      </c>
      <c r="AB50">
        <v>5000</v>
      </c>
      <c r="AC5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" spans="1:29" x14ac:dyDescent="0.25">
      <c r="A51" t="s">
        <v>569</v>
      </c>
      <c r="B51" t="s">
        <v>1209</v>
      </c>
      <c r="C51" t="s">
        <v>1261</v>
      </c>
      <c r="D51" t="s">
        <v>501</v>
      </c>
      <c r="E51" t="s">
        <v>502</v>
      </c>
      <c r="F51" t="s">
        <v>569</v>
      </c>
      <c r="G51" t="s">
        <v>569</v>
      </c>
      <c r="H51" t="s">
        <v>569</v>
      </c>
      <c r="I51" t="s">
        <v>569</v>
      </c>
      <c r="J51" t="s">
        <v>569</v>
      </c>
      <c r="K51" t="s">
        <v>569</v>
      </c>
      <c r="L51" t="s">
        <v>569</v>
      </c>
      <c r="M51" t="s">
        <v>569</v>
      </c>
      <c r="N51" t="s">
        <v>569</v>
      </c>
      <c r="O51" t="s">
        <v>569</v>
      </c>
      <c r="P51" t="s">
        <v>569</v>
      </c>
      <c r="Q51" t="s">
        <v>569</v>
      </c>
      <c r="R51">
        <v>44.68</v>
      </c>
      <c r="S51" t="s">
        <v>1213</v>
      </c>
      <c r="T51">
        <v>-63.57</v>
      </c>
      <c r="U51" t="s">
        <v>1206</v>
      </c>
      <c r="V51" t="s">
        <v>569</v>
      </c>
      <c r="W51" t="s">
        <v>569</v>
      </c>
      <c r="X51" t="s">
        <v>569</v>
      </c>
      <c r="Y51" t="s">
        <v>569</v>
      </c>
      <c r="Z51" t="s">
        <v>569</v>
      </c>
      <c r="AA51" t="s">
        <v>569</v>
      </c>
      <c r="AB51">
        <v>5000</v>
      </c>
      <c r="AC5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" spans="1:29" x14ac:dyDescent="0.25">
      <c r="A52" t="s">
        <v>569</v>
      </c>
      <c r="B52" t="s">
        <v>1277</v>
      </c>
      <c r="C52" t="s">
        <v>504</v>
      </c>
      <c r="D52" t="s">
        <v>501</v>
      </c>
      <c r="E52" t="s">
        <v>502</v>
      </c>
      <c r="F52" t="s">
        <v>569</v>
      </c>
      <c r="G52" t="s">
        <v>569</v>
      </c>
      <c r="H52" t="s">
        <v>569</v>
      </c>
      <c r="I52" t="s">
        <v>569</v>
      </c>
      <c r="J52" t="s">
        <v>569</v>
      </c>
      <c r="K52" t="s">
        <v>569</v>
      </c>
      <c r="L52" t="s">
        <v>569</v>
      </c>
      <c r="M52" t="s">
        <v>569</v>
      </c>
      <c r="N52" t="s">
        <v>569</v>
      </c>
      <c r="O52" t="s">
        <v>569</v>
      </c>
      <c r="P52" t="s">
        <v>569</v>
      </c>
      <c r="Q52" t="s">
        <v>569</v>
      </c>
      <c r="R52">
        <v>49.15</v>
      </c>
      <c r="S52" t="s">
        <v>1213</v>
      </c>
      <c r="T52">
        <v>-122.26</v>
      </c>
      <c r="U52" t="s">
        <v>1206</v>
      </c>
      <c r="V52" t="s">
        <v>569</v>
      </c>
      <c r="W52" t="s">
        <v>569</v>
      </c>
      <c r="X52" t="s">
        <v>569</v>
      </c>
      <c r="Y52" t="s">
        <v>569</v>
      </c>
      <c r="Z52" t="s">
        <v>569</v>
      </c>
      <c r="AA52" t="s">
        <v>569</v>
      </c>
      <c r="AB52">
        <v>5000</v>
      </c>
      <c r="AC5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" spans="1:29" x14ac:dyDescent="0.25">
      <c r="A53" t="s">
        <v>569</v>
      </c>
      <c r="B53" t="s">
        <v>1278</v>
      </c>
      <c r="C53" t="s">
        <v>504</v>
      </c>
      <c r="D53" t="s">
        <v>501</v>
      </c>
      <c r="E53" t="s">
        <v>502</v>
      </c>
      <c r="F53" t="s">
        <v>569</v>
      </c>
      <c r="G53" t="s">
        <v>569</v>
      </c>
      <c r="H53" t="s">
        <v>569</v>
      </c>
      <c r="I53" t="s">
        <v>569</v>
      </c>
      <c r="J53" t="s">
        <v>569</v>
      </c>
      <c r="K53" t="s">
        <v>569</v>
      </c>
      <c r="L53" t="s">
        <v>569</v>
      </c>
      <c r="M53" t="s">
        <v>569</v>
      </c>
      <c r="N53" t="s">
        <v>569</v>
      </c>
      <c r="O53" t="s">
        <v>569</v>
      </c>
      <c r="P53" t="s">
        <v>569</v>
      </c>
      <c r="Q53" t="s">
        <v>569</v>
      </c>
      <c r="R53">
        <v>52.37</v>
      </c>
      <c r="S53" t="s">
        <v>1213</v>
      </c>
      <c r="T53">
        <v>-126.76</v>
      </c>
      <c r="U53" t="s">
        <v>1206</v>
      </c>
      <c r="V53" t="s">
        <v>569</v>
      </c>
      <c r="W53" t="s">
        <v>569</v>
      </c>
      <c r="X53" t="s">
        <v>569</v>
      </c>
      <c r="Y53" t="s">
        <v>569</v>
      </c>
      <c r="Z53" t="s">
        <v>569</v>
      </c>
      <c r="AA53" t="s">
        <v>569</v>
      </c>
      <c r="AB53">
        <v>5000</v>
      </c>
      <c r="AC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" spans="1:29" x14ac:dyDescent="0.25">
      <c r="A54" t="s">
        <v>569</v>
      </c>
      <c r="B54" t="s">
        <v>1279</v>
      </c>
      <c r="C54" t="s">
        <v>504</v>
      </c>
      <c r="D54" t="s">
        <v>501</v>
      </c>
      <c r="E54" t="s">
        <v>502</v>
      </c>
      <c r="F54" t="s">
        <v>569</v>
      </c>
      <c r="G54" t="s">
        <v>569</v>
      </c>
      <c r="H54" t="s">
        <v>569</v>
      </c>
      <c r="I54" t="s">
        <v>569</v>
      </c>
      <c r="J54" t="s">
        <v>569</v>
      </c>
      <c r="K54" t="s">
        <v>569</v>
      </c>
      <c r="L54" t="s">
        <v>569</v>
      </c>
      <c r="M54" t="s">
        <v>569</v>
      </c>
      <c r="N54" t="s">
        <v>569</v>
      </c>
      <c r="O54" t="s">
        <v>569</v>
      </c>
      <c r="P54" t="s">
        <v>569</v>
      </c>
      <c r="Q54" t="s">
        <v>569</v>
      </c>
      <c r="R54">
        <v>49.78</v>
      </c>
      <c r="S54" t="s">
        <v>1213</v>
      </c>
      <c r="T54">
        <v>-121.45</v>
      </c>
      <c r="U54" t="s">
        <v>1206</v>
      </c>
      <c r="V54" t="s">
        <v>569</v>
      </c>
      <c r="W54" t="s">
        <v>569</v>
      </c>
      <c r="X54" t="s">
        <v>569</v>
      </c>
      <c r="Y54" t="s">
        <v>569</v>
      </c>
      <c r="Z54" t="s">
        <v>569</v>
      </c>
      <c r="AA54" t="s">
        <v>569</v>
      </c>
      <c r="AB54">
        <v>5000</v>
      </c>
      <c r="AC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" spans="1:29" x14ac:dyDescent="0.25">
      <c r="A55" t="s">
        <v>569</v>
      </c>
      <c r="B55" t="s">
        <v>1280</v>
      </c>
      <c r="C55" t="s">
        <v>504</v>
      </c>
      <c r="D55" t="s">
        <v>501</v>
      </c>
      <c r="E55" t="s">
        <v>502</v>
      </c>
      <c r="F55" t="s">
        <v>569</v>
      </c>
      <c r="G55" t="s">
        <v>569</v>
      </c>
      <c r="H55" t="s">
        <v>569</v>
      </c>
      <c r="I55" t="s">
        <v>569</v>
      </c>
      <c r="J55" t="s">
        <v>569</v>
      </c>
      <c r="K55" t="s">
        <v>569</v>
      </c>
      <c r="L55" t="s">
        <v>569</v>
      </c>
      <c r="M55" t="s">
        <v>569</v>
      </c>
      <c r="N55" t="s">
        <v>569</v>
      </c>
      <c r="O55" t="s">
        <v>569</v>
      </c>
      <c r="P55" t="s">
        <v>569</v>
      </c>
      <c r="Q55" t="s">
        <v>569</v>
      </c>
      <c r="R55">
        <v>53.07</v>
      </c>
      <c r="S55" t="s">
        <v>1213</v>
      </c>
      <c r="T55">
        <v>-121.52</v>
      </c>
      <c r="U55" t="s">
        <v>1206</v>
      </c>
      <c r="V55" t="s">
        <v>569</v>
      </c>
      <c r="W55" t="s">
        <v>569</v>
      </c>
      <c r="X55" t="s">
        <v>569</v>
      </c>
      <c r="Y55" t="s">
        <v>569</v>
      </c>
      <c r="Z55" t="s">
        <v>569</v>
      </c>
      <c r="AA55" t="s">
        <v>569</v>
      </c>
      <c r="AB55">
        <v>5000</v>
      </c>
      <c r="AC5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" spans="1:29" x14ac:dyDescent="0.25">
      <c r="A56" t="s">
        <v>569</v>
      </c>
      <c r="B56" t="s">
        <v>745</v>
      </c>
      <c r="C56" t="s">
        <v>504</v>
      </c>
      <c r="D56" t="s">
        <v>501</v>
      </c>
      <c r="E56" t="s">
        <v>502</v>
      </c>
      <c r="F56" t="s">
        <v>569</v>
      </c>
      <c r="G56" t="s">
        <v>569</v>
      </c>
      <c r="H56" t="s">
        <v>569</v>
      </c>
      <c r="I56" t="s">
        <v>569</v>
      </c>
      <c r="J56" t="s">
        <v>569</v>
      </c>
      <c r="K56" t="s">
        <v>569</v>
      </c>
      <c r="L56" t="s">
        <v>569</v>
      </c>
      <c r="M56" t="s">
        <v>569</v>
      </c>
      <c r="N56" t="s">
        <v>569</v>
      </c>
      <c r="O56" t="s">
        <v>569</v>
      </c>
      <c r="P56" t="s">
        <v>569</v>
      </c>
      <c r="Q56" t="s">
        <v>569</v>
      </c>
      <c r="R56">
        <v>48.68</v>
      </c>
      <c r="S56" t="s">
        <v>1213</v>
      </c>
      <c r="T56">
        <v>-123.6</v>
      </c>
      <c r="U56" t="s">
        <v>1206</v>
      </c>
      <c r="V56" t="s">
        <v>569</v>
      </c>
      <c r="W56" t="s">
        <v>569</v>
      </c>
      <c r="X56" t="s">
        <v>569</v>
      </c>
      <c r="Y56" t="s">
        <v>569</v>
      </c>
      <c r="Z56" t="s">
        <v>569</v>
      </c>
      <c r="AA56" t="s">
        <v>569</v>
      </c>
      <c r="AB56">
        <v>5000</v>
      </c>
      <c r="AC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" spans="1:29" x14ac:dyDescent="0.25">
      <c r="A57" t="s">
        <v>569</v>
      </c>
      <c r="B57" t="s">
        <v>533</v>
      </c>
      <c r="C57" t="s">
        <v>504</v>
      </c>
      <c r="D57" t="s">
        <v>501</v>
      </c>
      <c r="E57" t="s">
        <v>502</v>
      </c>
      <c r="F57" t="s">
        <v>569</v>
      </c>
      <c r="G57" t="s">
        <v>569</v>
      </c>
      <c r="H57" t="s">
        <v>569</v>
      </c>
      <c r="I57" t="s">
        <v>569</v>
      </c>
      <c r="J57" t="s">
        <v>569</v>
      </c>
      <c r="K57" t="s">
        <v>569</v>
      </c>
      <c r="L57" t="s">
        <v>569</v>
      </c>
      <c r="M57" t="s">
        <v>569</v>
      </c>
      <c r="N57" t="s">
        <v>569</v>
      </c>
      <c r="O57" t="s">
        <v>569</v>
      </c>
      <c r="P57" t="s">
        <v>569</v>
      </c>
      <c r="Q57" t="s">
        <v>569</v>
      </c>
      <c r="R57">
        <v>48.38</v>
      </c>
      <c r="S57" t="s">
        <v>1213</v>
      </c>
      <c r="T57">
        <v>-123.73</v>
      </c>
      <c r="U57" t="s">
        <v>1206</v>
      </c>
      <c r="V57" t="s">
        <v>569</v>
      </c>
      <c r="W57" t="s">
        <v>569</v>
      </c>
      <c r="X57" t="s">
        <v>569</v>
      </c>
      <c r="Y57" t="s">
        <v>569</v>
      </c>
      <c r="Z57" t="s">
        <v>569</v>
      </c>
      <c r="AA57" t="s">
        <v>569</v>
      </c>
      <c r="AB57">
        <v>5000</v>
      </c>
      <c r="AC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" spans="1:29" x14ac:dyDescent="0.25">
      <c r="A58" t="s">
        <v>569</v>
      </c>
      <c r="B58" t="s">
        <v>914</v>
      </c>
      <c r="C58" t="s">
        <v>504</v>
      </c>
      <c r="D58" t="s">
        <v>501</v>
      </c>
      <c r="E58" t="s">
        <v>502</v>
      </c>
      <c r="F58" t="s">
        <v>569</v>
      </c>
      <c r="G58" t="s">
        <v>569</v>
      </c>
      <c r="H58" t="s">
        <v>569</v>
      </c>
      <c r="I58" t="s">
        <v>569</v>
      </c>
      <c r="J58" t="s">
        <v>569</v>
      </c>
      <c r="K58" t="s">
        <v>569</v>
      </c>
      <c r="L58" t="s">
        <v>569</v>
      </c>
      <c r="M58" t="s">
        <v>569</v>
      </c>
      <c r="N58" t="s">
        <v>569</v>
      </c>
      <c r="O58" t="s">
        <v>569</v>
      </c>
      <c r="P58" t="s">
        <v>569</v>
      </c>
      <c r="Q58" t="s">
        <v>569</v>
      </c>
      <c r="R58">
        <v>49.06</v>
      </c>
      <c r="S58" t="s">
        <v>1213</v>
      </c>
      <c r="T58">
        <v>-122.49</v>
      </c>
      <c r="U58" t="s">
        <v>1206</v>
      </c>
      <c r="V58" t="s">
        <v>569</v>
      </c>
      <c r="W58" t="s">
        <v>569</v>
      </c>
      <c r="X58" t="s">
        <v>569</v>
      </c>
      <c r="Y58" t="s">
        <v>569</v>
      </c>
      <c r="Z58" t="s">
        <v>569</v>
      </c>
      <c r="AA58" t="s">
        <v>569</v>
      </c>
      <c r="AB58">
        <v>5000</v>
      </c>
      <c r="AC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" spans="1:29" x14ac:dyDescent="0.25">
      <c r="A59" t="s">
        <v>569</v>
      </c>
      <c r="B59" t="s">
        <v>675</v>
      </c>
      <c r="C59" t="s">
        <v>677</v>
      </c>
      <c r="D59" t="s">
        <v>522</v>
      </c>
      <c r="E59" t="s">
        <v>523</v>
      </c>
      <c r="F59" t="s">
        <v>569</v>
      </c>
      <c r="G59" t="s">
        <v>569</v>
      </c>
      <c r="H59" t="s">
        <v>569</v>
      </c>
      <c r="I59" t="s">
        <v>569</v>
      </c>
      <c r="J59" t="s">
        <v>569</v>
      </c>
      <c r="K59" t="s">
        <v>569</v>
      </c>
      <c r="L59" t="s">
        <v>569</v>
      </c>
      <c r="M59" t="s">
        <v>569</v>
      </c>
      <c r="N59" t="s">
        <v>569</v>
      </c>
      <c r="O59" t="s">
        <v>569</v>
      </c>
      <c r="P59" t="s">
        <v>569</v>
      </c>
      <c r="Q59" t="s">
        <v>569</v>
      </c>
      <c r="R59">
        <v>-31.43</v>
      </c>
      <c r="S59" t="s">
        <v>1111</v>
      </c>
      <c r="T59">
        <v>152.91</v>
      </c>
      <c r="U59" t="s">
        <v>1201</v>
      </c>
      <c r="V59" t="s">
        <v>569</v>
      </c>
      <c r="W59" t="s">
        <v>569</v>
      </c>
      <c r="X59" t="s">
        <v>569</v>
      </c>
      <c r="Y59" t="s">
        <v>569</v>
      </c>
      <c r="Z59" t="s">
        <v>569</v>
      </c>
      <c r="AA59" t="s">
        <v>569</v>
      </c>
      <c r="AB59">
        <v>5000</v>
      </c>
      <c r="AC5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" spans="1:29" x14ac:dyDescent="0.25">
      <c r="A60" t="s">
        <v>569</v>
      </c>
      <c r="B60" t="s">
        <v>1281</v>
      </c>
      <c r="C60" t="s">
        <v>504</v>
      </c>
      <c r="D60" t="s">
        <v>501</v>
      </c>
      <c r="E60" t="s">
        <v>502</v>
      </c>
      <c r="F60" t="s">
        <v>569</v>
      </c>
      <c r="G60" t="s">
        <v>569</v>
      </c>
      <c r="H60" t="s">
        <v>569</v>
      </c>
      <c r="I60" t="s">
        <v>569</v>
      </c>
      <c r="J60" t="s">
        <v>569</v>
      </c>
      <c r="K60" t="s">
        <v>569</v>
      </c>
      <c r="L60" t="s">
        <v>569</v>
      </c>
      <c r="M60" t="s">
        <v>569</v>
      </c>
      <c r="N60" t="s">
        <v>569</v>
      </c>
      <c r="O60" t="s">
        <v>569</v>
      </c>
      <c r="P60" t="s">
        <v>569</v>
      </c>
      <c r="Q60" t="s">
        <v>569</v>
      </c>
      <c r="R60">
        <v>48.65</v>
      </c>
      <c r="S60" t="s">
        <v>1213</v>
      </c>
      <c r="T60">
        <v>-123.62</v>
      </c>
      <c r="U60" t="s">
        <v>1206</v>
      </c>
      <c r="V60" t="s">
        <v>569</v>
      </c>
      <c r="W60" t="s">
        <v>569</v>
      </c>
      <c r="X60" t="s">
        <v>569</v>
      </c>
      <c r="Y60" t="s">
        <v>569</v>
      </c>
      <c r="Z60" t="s">
        <v>569</v>
      </c>
      <c r="AA60" t="s">
        <v>569</v>
      </c>
      <c r="AB60">
        <v>5000</v>
      </c>
      <c r="AC6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" spans="1:29" x14ac:dyDescent="0.25">
      <c r="A61" t="s">
        <v>569</v>
      </c>
      <c r="B61" t="s">
        <v>1025</v>
      </c>
      <c r="C61" t="s">
        <v>1282</v>
      </c>
      <c r="D61" t="s">
        <v>652</v>
      </c>
      <c r="E61" t="s">
        <v>653</v>
      </c>
      <c r="F61" t="s">
        <v>569</v>
      </c>
      <c r="G61" t="s">
        <v>569</v>
      </c>
      <c r="H61" t="s">
        <v>569</v>
      </c>
      <c r="I61" t="s">
        <v>569</v>
      </c>
      <c r="J61" t="s">
        <v>569</v>
      </c>
      <c r="K61" t="s">
        <v>569</v>
      </c>
      <c r="L61" t="s">
        <v>569</v>
      </c>
      <c r="M61" t="s">
        <v>569</v>
      </c>
      <c r="N61" t="s">
        <v>569</v>
      </c>
      <c r="O61" t="s">
        <v>569</v>
      </c>
      <c r="P61" t="s">
        <v>569</v>
      </c>
      <c r="Q61" t="s">
        <v>569</v>
      </c>
      <c r="R61">
        <v>22.05</v>
      </c>
      <c r="S61" t="s">
        <v>1213</v>
      </c>
      <c r="T61">
        <v>-159.56</v>
      </c>
      <c r="U61" t="s">
        <v>1206</v>
      </c>
      <c r="V61" t="s">
        <v>569</v>
      </c>
      <c r="W61" t="s">
        <v>569</v>
      </c>
      <c r="X61" t="s">
        <v>569</v>
      </c>
      <c r="Y61" t="s">
        <v>569</v>
      </c>
      <c r="Z61" t="s">
        <v>569</v>
      </c>
      <c r="AA61" t="s">
        <v>569</v>
      </c>
      <c r="AB61">
        <v>5000</v>
      </c>
      <c r="AC6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" spans="1:29" x14ac:dyDescent="0.25">
      <c r="A62" t="s">
        <v>569</v>
      </c>
      <c r="B62" t="s">
        <v>541</v>
      </c>
      <c r="C62" t="s">
        <v>504</v>
      </c>
      <c r="D62" t="s">
        <v>501</v>
      </c>
      <c r="E62" t="s">
        <v>502</v>
      </c>
      <c r="F62" t="s">
        <v>569</v>
      </c>
      <c r="G62" t="s">
        <v>569</v>
      </c>
      <c r="H62" t="s">
        <v>569</v>
      </c>
      <c r="I62" t="s">
        <v>569</v>
      </c>
      <c r="J62" t="s">
        <v>569</v>
      </c>
      <c r="K62" t="s">
        <v>569</v>
      </c>
      <c r="L62" t="s">
        <v>569</v>
      </c>
      <c r="M62" t="s">
        <v>569</v>
      </c>
      <c r="N62" t="s">
        <v>569</v>
      </c>
      <c r="O62" t="s">
        <v>569</v>
      </c>
      <c r="P62" t="s">
        <v>569</v>
      </c>
      <c r="Q62" t="s">
        <v>569</v>
      </c>
      <c r="R62">
        <v>48.35</v>
      </c>
      <c r="S62" t="s">
        <v>1213</v>
      </c>
      <c r="T62">
        <v>-123.66</v>
      </c>
      <c r="U62" t="s">
        <v>1206</v>
      </c>
      <c r="V62" t="s">
        <v>569</v>
      </c>
      <c r="W62" t="s">
        <v>569</v>
      </c>
      <c r="X62" t="s">
        <v>569</v>
      </c>
      <c r="Y62" t="s">
        <v>569</v>
      </c>
      <c r="Z62" t="s">
        <v>569</v>
      </c>
      <c r="AA62" t="s">
        <v>569</v>
      </c>
      <c r="AB62">
        <v>5000</v>
      </c>
      <c r="AC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" spans="1:29" x14ac:dyDescent="0.25">
      <c r="A63" t="s">
        <v>569</v>
      </c>
      <c r="B63" t="s">
        <v>521</v>
      </c>
      <c r="C63" t="s">
        <v>525</v>
      </c>
      <c r="D63" t="s">
        <v>522</v>
      </c>
      <c r="E63" t="s">
        <v>523</v>
      </c>
      <c r="F63" t="s">
        <v>569</v>
      </c>
      <c r="G63" t="s">
        <v>569</v>
      </c>
      <c r="H63" t="s">
        <v>569</v>
      </c>
      <c r="I63" t="s">
        <v>569</v>
      </c>
      <c r="J63" t="s">
        <v>569</v>
      </c>
      <c r="K63" t="s">
        <v>569</v>
      </c>
      <c r="L63" t="s">
        <v>569</v>
      </c>
      <c r="M63" t="s">
        <v>569</v>
      </c>
      <c r="N63" t="s">
        <v>569</v>
      </c>
      <c r="O63" t="s">
        <v>569</v>
      </c>
      <c r="P63" t="s">
        <v>569</v>
      </c>
      <c r="Q63" t="s">
        <v>569</v>
      </c>
      <c r="R63">
        <v>-31.96</v>
      </c>
      <c r="S63" t="s">
        <v>1111</v>
      </c>
      <c r="T63">
        <v>115.86</v>
      </c>
      <c r="U63" t="s">
        <v>1201</v>
      </c>
      <c r="V63" t="s">
        <v>569</v>
      </c>
      <c r="W63" t="s">
        <v>569</v>
      </c>
      <c r="X63" t="s">
        <v>569</v>
      </c>
      <c r="Y63" t="s">
        <v>569</v>
      </c>
      <c r="Z63" t="s">
        <v>569</v>
      </c>
      <c r="AA63" t="s">
        <v>569</v>
      </c>
      <c r="AB63">
        <v>5000</v>
      </c>
      <c r="AC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" spans="1:29" x14ac:dyDescent="0.25">
      <c r="A64" t="s">
        <v>569</v>
      </c>
      <c r="B64" t="s">
        <v>528</v>
      </c>
      <c r="C64" t="s">
        <v>504</v>
      </c>
      <c r="D64" t="s">
        <v>501</v>
      </c>
      <c r="E64" t="s">
        <v>502</v>
      </c>
      <c r="F64" t="s">
        <v>569</v>
      </c>
      <c r="G64" t="s">
        <v>569</v>
      </c>
      <c r="H64" t="s">
        <v>569</v>
      </c>
      <c r="I64" t="s">
        <v>569</v>
      </c>
      <c r="J64" t="s">
        <v>569</v>
      </c>
      <c r="K64" t="s">
        <v>569</v>
      </c>
      <c r="L64" t="s">
        <v>569</v>
      </c>
      <c r="M64" t="s">
        <v>569</v>
      </c>
      <c r="N64" t="s">
        <v>569</v>
      </c>
      <c r="O64" t="s">
        <v>569</v>
      </c>
      <c r="P64" t="s">
        <v>569</v>
      </c>
      <c r="Q64" t="s">
        <v>569</v>
      </c>
      <c r="R64">
        <v>49.63</v>
      </c>
      <c r="S64" t="s">
        <v>1213</v>
      </c>
      <c r="T64">
        <v>-123.21</v>
      </c>
      <c r="U64" t="s">
        <v>1206</v>
      </c>
      <c r="V64" t="s">
        <v>569</v>
      </c>
      <c r="W64" t="s">
        <v>569</v>
      </c>
      <c r="X64" t="s">
        <v>569</v>
      </c>
      <c r="Y64" t="s">
        <v>569</v>
      </c>
      <c r="Z64" t="s">
        <v>569</v>
      </c>
      <c r="AA64" t="s">
        <v>569</v>
      </c>
      <c r="AB64">
        <v>5000</v>
      </c>
      <c r="AC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" spans="1:29" x14ac:dyDescent="0.25">
      <c r="A65" t="s">
        <v>569</v>
      </c>
      <c r="B65" t="s">
        <v>536</v>
      </c>
      <c r="C65" t="s">
        <v>504</v>
      </c>
      <c r="D65" t="s">
        <v>501</v>
      </c>
      <c r="E65" t="s">
        <v>502</v>
      </c>
      <c r="F65" t="s">
        <v>569</v>
      </c>
      <c r="G65" t="s">
        <v>569</v>
      </c>
      <c r="H65" t="s">
        <v>569</v>
      </c>
      <c r="I65" t="s">
        <v>569</v>
      </c>
      <c r="J65" t="s">
        <v>569</v>
      </c>
      <c r="K65" t="s">
        <v>569</v>
      </c>
      <c r="L65" t="s">
        <v>569</v>
      </c>
      <c r="M65" t="s">
        <v>569</v>
      </c>
      <c r="N65" t="s">
        <v>569</v>
      </c>
      <c r="O65" t="s">
        <v>569</v>
      </c>
      <c r="P65" t="s">
        <v>569</v>
      </c>
      <c r="Q65" t="s">
        <v>569</v>
      </c>
      <c r="R65">
        <v>49.3</v>
      </c>
      <c r="S65" t="s">
        <v>1213</v>
      </c>
      <c r="T65">
        <v>-124.42</v>
      </c>
      <c r="U65" t="s">
        <v>1206</v>
      </c>
      <c r="V65" t="s">
        <v>569</v>
      </c>
      <c r="W65" t="s">
        <v>569</v>
      </c>
      <c r="X65" t="s">
        <v>569</v>
      </c>
      <c r="Y65" t="s">
        <v>569</v>
      </c>
      <c r="Z65" t="s">
        <v>569</v>
      </c>
      <c r="AA65" t="s">
        <v>569</v>
      </c>
      <c r="AB65">
        <v>5000</v>
      </c>
      <c r="AC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" spans="1:29" x14ac:dyDescent="0.25">
      <c r="A66" t="s">
        <v>569</v>
      </c>
      <c r="B66" t="s">
        <v>538</v>
      </c>
      <c r="C66" t="s">
        <v>504</v>
      </c>
      <c r="D66" t="s">
        <v>501</v>
      </c>
      <c r="E66" t="s">
        <v>502</v>
      </c>
      <c r="F66" t="s">
        <v>569</v>
      </c>
      <c r="G66" t="s">
        <v>569</v>
      </c>
      <c r="H66" t="s">
        <v>569</v>
      </c>
      <c r="I66" t="s">
        <v>569</v>
      </c>
      <c r="J66" t="s">
        <v>569</v>
      </c>
      <c r="K66" t="s">
        <v>569</v>
      </c>
      <c r="L66" t="s">
        <v>569</v>
      </c>
      <c r="M66" t="s">
        <v>569</v>
      </c>
      <c r="N66" t="s">
        <v>569</v>
      </c>
      <c r="O66" t="s">
        <v>569</v>
      </c>
      <c r="P66" t="s">
        <v>569</v>
      </c>
      <c r="Q66" t="s">
        <v>569</v>
      </c>
      <c r="R66">
        <v>48.65</v>
      </c>
      <c r="S66" t="s">
        <v>1213</v>
      </c>
      <c r="T66">
        <v>-123.55</v>
      </c>
      <c r="U66" t="s">
        <v>1206</v>
      </c>
      <c r="V66" t="s">
        <v>569</v>
      </c>
      <c r="W66" t="s">
        <v>569</v>
      </c>
      <c r="X66" t="s">
        <v>569</v>
      </c>
      <c r="Y66" t="s">
        <v>569</v>
      </c>
      <c r="Z66" t="s">
        <v>569</v>
      </c>
      <c r="AA66" t="s">
        <v>569</v>
      </c>
      <c r="AB66">
        <v>5000</v>
      </c>
      <c r="AC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" spans="1:29" x14ac:dyDescent="0.25">
      <c r="A67" t="s">
        <v>569</v>
      </c>
      <c r="B67" t="s">
        <v>1283</v>
      </c>
      <c r="C67" t="s">
        <v>504</v>
      </c>
      <c r="D67" t="s">
        <v>501</v>
      </c>
      <c r="E67" t="s">
        <v>502</v>
      </c>
      <c r="F67" t="s">
        <v>569</v>
      </c>
      <c r="G67" t="s">
        <v>569</v>
      </c>
      <c r="H67" t="s">
        <v>569</v>
      </c>
      <c r="I67" t="s">
        <v>569</v>
      </c>
      <c r="J67" t="s">
        <v>569</v>
      </c>
      <c r="K67" t="s">
        <v>569</v>
      </c>
      <c r="L67" t="s">
        <v>569</v>
      </c>
      <c r="M67" t="s">
        <v>569</v>
      </c>
      <c r="N67" t="s">
        <v>569</v>
      </c>
      <c r="O67" t="s">
        <v>569</v>
      </c>
      <c r="P67" t="s">
        <v>569</v>
      </c>
      <c r="Q67" t="s">
        <v>569</v>
      </c>
      <c r="R67">
        <v>48.94</v>
      </c>
      <c r="S67" t="s">
        <v>1213</v>
      </c>
      <c r="T67">
        <v>-123.47</v>
      </c>
      <c r="U67" t="s">
        <v>1206</v>
      </c>
      <c r="V67" t="s">
        <v>569</v>
      </c>
      <c r="W67" t="s">
        <v>569</v>
      </c>
      <c r="X67" t="s">
        <v>569</v>
      </c>
      <c r="Y67" t="s">
        <v>569</v>
      </c>
      <c r="Z67" t="s">
        <v>569</v>
      </c>
      <c r="AA67" t="s">
        <v>569</v>
      </c>
      <c r="AB67">
        <v>5000</v>
      </c>
      <c r="AC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" spans="1:29" x14ac:dyDescent="0.25">
      <c r="A68" t="s">
        <v>569</v>
      </c>
      <c r="B68" t="s">
        <v>545</v>
      </c>
      <c r="C68" t="s">
        <v>504</v>
      </c>
      <c r="D68" t="s">
        <v>501</v>
      </c>
      <c r="E68" t="s">
        <v>502</v>
      </c>
      <c r="F68" t="s">
        <v>569</v>
      </c>
      <c r="G68" t="s">
        <v>569</v>
      </c>
      <c r="H68" t="s">
        <v>569</v>
      </c>
      <c r="I68" t="s">
        <v>569</v>
      </c>
      <c r="J68" t="s">
        <v>569</v>
      </c>
      <c r="K68" t="s">
        <v>569</v>
      </c>
      <c r="L68" t="s">
        <v>569</v>
      </c>
      <c r="M68" t="s">
        <v>569</v>
      </c>
      <c r="N68" t="s">
        <v>569</v>
      </c>
      <c r="O68" t="s">
        <v>569</v>
      </c>
      <c r="P68" t="s">
        <v>569</v>
      </c>
      <c r="Q68" t="s">
        <v>569</v>
      </c>
      <c r="R68">
        <v>49.32</v>
      </c>
      <c r="S68" t="s">
        <v>1213</v>
      </c>
      <c r="T68">
        <v>-124.31</v>
      </c>
      <c r="U68" t="s">
        <v>1206</v>
      </c>
      <c r="V68" t="s">
        <v>569</v>
      </c>
      <c r="W68" t="s">
        <v>569</v>
      </c>
      <c r="X68" t="s">
        <v>569</v>
      </c>
      <c r="Y68" t="s">
        <v>569</v>
      </c>
      <c r="Z68" t="s">
        <v>569</v>
      </c>
      <c r="AA68" t="s">
        <v>569</v>
      </c>
      <c r="AB68">
        <v>5000</v>
      </c>
      <c r="AC6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" spans="1:29" x14ac:dyDescent="0.25">
      <c r="A69" t="s">
        <v>569</v>
      </c>
      <c r="B69" t="s">
        <v>550</v>
      </c>
      <c r="C69" t="s">
        <v>504</v>
      </c>
      <c r="D69" t="s">
        <v>501</v>
      </c>
      <c r="E69" t="s">
        <v>502</v>
      </c>
      <c r="F69" t="s">
        <v>569</v>
      </c>
      <c r="G69" t="s">
        <v>569</v>
      </c>
      <c r="H69" t="s">
        <v>569</v>
      </c>
      <c r="I69" t="s">
        <v>569</v>
      </c>
      <c r="J69" t="s">
        <v>569</v>
      </c>
      <c r="K69" t="s">
        <v>569</v>
      </c>
      <c r="L69" t="s">
        <v>569</v>
      </c>
      <c r="M69" t="s">
        <v>569</v>
      </c>
      <c r="N69" t="s">
        <v>569</v>
      </c>
      <c r="O69" t="s">
        <v>569</v>
      </c>
      <c r="P69" t="s">
        <v>569</v>
      </c>
      <c r="Q69" t="s">
        <v>569</v>
      </c>
      <c r="R69">
        <v>49.67</v>
      </c>
      <c r="S69" t="s">
        <v>1213</v>
      </c>
      <c r="T69">
        <v>-124.93</v>
      </c>
      <c r="U69" t="s">
        <v>1206</v>
      </c>
      <c r="V69" t="s">
        <v>569</v>
      </c>
      <c r="W69" t="s">
        <v>569</v>
      </c>
      <c r="X69" t="s">
        <v>569</v>
      </c>
      <c r="Y69" t="s">
        <v>569</v>
      </c>
      <c r="Z69" t="s">
        <v>569</v>
      </c>
      <c r="AA69" t="s">
        <v>569</v>
      </c>
      <c r="AB69">
        <v>5000</v>
      </c>
      <c r="AC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0" spans="1:29" x14ac:dyDescent="0.25">
      <c r="A70" t="s">
        <v>569</v>
      </c>
      <c r="B70" t="s">
        <v>552</v>
      </c>
      <c r="C70" t="s">
        <v>504</v>
      </c>
      <c r="D70" t="s">
        <v>501</v>
      </c>
      <c r="E70" t="s">
        <v>502</v>
      </c>
      <c r="F70" t="s">
        <v>569</v>
      </c>
      <c r="G70" t="s">
        <v>569</v>
      </c>
      <c r="H70" t="s">
        <v>569</v>
      </c>
      <c r="I70" t="s">
        <v>569</v>
      </c>
      <c r="J70" t="s">
        <v>569</v>
      </c>
      <c r="K70" t="s">
        <v>569</v>
      </c>
      <c r="L70" t="s">
        <v>569</v>
      </c>
      <c r="M70" t="s">
        <v>569</v>
      </c>
      <c r="N70" t="s">
        <v>569</v>
      </c>
      <c r="O70" t="s">
        <v>569</v>
      </c>
      <c r="P70" t="s">
        <v>569</v>
      </c>
      <c r="Q70" t="s">
        <v>569</v>
      </c>
      <c r="R70">
        <v>48.83</v>
      </c>
      <c r="S70" t="s">
        <v>1213</v>
      </c>
      <c r="T70">
        <v>-124.06</v>
      </c>
      <c r="U70" t="s">
        <v>1206</v>
      </c>
      <c r="V70" t="s">
        <v>569</v>
      </c>
      <c r="W70" t="s">
        <v>569</v>
      </c>
      <c r="X70" t="s">
        <v>569</v>
      </c>
      <c r="Y70" t="s">
        <v>569</v>
      </c>
      <c r="Z70" t="s">
        <v>569</v>
      </c>
      <c r="AA70" t="s">
        <v>569</v>
      </c>
      <c r="AB70">
        <v>5000</v>
      </c>
      <c r="AC7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1" spans="1:29" x14ac:dyDescent="0.25">
      <c r="A71" t="s">
        <v>569</v>
      </c>
      <c r="B71" t="s">
        <v>554</v>
      </c>
      <c r="C71" t="s">
        <v>504</v>
      </c>
      <c r="D71" t="s">
        <v>501</v>
      </c>
      <c r="E71" t="s">
        <v>502</v>
      </c>
      <c r="F71" t="s">
        <v>569</v>
      </c>
      <c r="G71" t="s">
        <v>569</v>
      </c>
      <c r="H71" t="s">
        <v>569</v>
      </c>
      <c r="I71" t="s">
        <v>569</v>
      </c>
      <c r="J71" t="s">
        <v>569</v>
      </c>
      <c r="K71" t="s">
        <v>569</v>
      </c>
      <c r="L71" t="s">
        <v>569</v>
      </c>
      <c r="M71" t="s">
        <v>569</v>
      </c>
      <c r="N71" t="s">
        <v>569</v>
      </c>
      <c r="O71" t="s">
        <v>569</v>
      </c>
      <c r="P71" t="s">
        <v>569</v>
      </c>
      <c r="Q71" t="s">
        <v>569</v>
      </c>
      <c r="R71">
        <v>50.87</v>
      </c>
      <c r="S71" t="s">
        <v>1213</v>
      </c>
      <c r="T71">
        <v>-119.58</v>
      </c>
      <c r="U71" t="s">
        <v>1206</v>
      </c>
      <c r="V71" t="s">
        <v>569</v>
      </c>
      <c r="W71" t="s">
        <v>569</v>
      </c>
      <c r="X71" t="s">
        <v>569</v>
      </c>
      <c r="Y71" t="s">
        <v>569</v>
      </c>
      <c r="Z71" t="s">
        <v>569</v>
      </c>
      <c r="AA71" t="s">
        <v>569</v>
      </c>
      <c r="AB71">
        <v>5000</v>
      </c>
      <c r="AC7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2" spans="1:29" x14ac:dyDescent="0.25">
      <c r="A72" t="s">
        <v>569</v>
      </c>
      <c r="B72" t="s">
        <v>710</v>
      </c>
      <c r="C72" t="s">
        <v>505</v>
      </c>
      <c r="D72" t="s">
        <v>522</v>
      </c>
      <c r="E72" t="s">
        <v>523</v>
      </c>
      <c r="F72" t="s">
        <v>569</v>
      </c>
      <c r="G72" t="s">
        <v>569</v>
      </c>
      <c r="H72" t="s">
        <v>569</v>
      </c>
      <c r="I72" t="s">
        <v>569</v>
      </c>
      <c r="J72" t="s">
        <v>569</v>
      </c>
      <c r="K72" t="s">
        <v>569</v>
      </c>
      <c r="L72" t="s">
        <v>569</v>
      </c>
      <c r="M72" t="s">
        <v>569</v>
      </c>
      <c r="N72" t="s">
        <v>569</v>
      </c>
      <c r="O72" t="s">
        <v>569</v>
      </c>
      <c r="P72" t="s">
        <v>569</v>
      </c>
      <c r="Q72" t="s">
        <v>569</v>
      </c>
      <c r="R72">
        <v>-37.74</v>
      </c>
      <c r="S72" t="s">
        <v>1111</v>
      </c>
      <c r="T72">
        <v>142.02000000000001</v>
      </c>
      <c r="U72" t="s">
        <v>1201</v>
      </c>
      <c r="V72" t="s">
        <v>569</v>
      </c>
      <c r="W72" t="s">
        <v>569</v>
      </c>
      <c r="X72" t="s">
        <v>569</v>
      </c>
      <c r="Y72" t="s">
        <v>569</v>
      </c>
      <c r="Z72" t="s">
        <v>569</v>
      </c>
      <c r="AA72" t="s">
        <v>569</v>
      </c>
      <c r="AB72">
        <v>5000</v>
      </c>
      <c r="AC7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3" spans="1:29" x14ac:dyDescent="0.25">
      <c r="A73" t="s">
        <v>569</v>
      </c>
      <c r="B73" t="s">
        <v>566</v>
      </c>
      <c r="C73" t="s">
        <v>504</v>
      </c>
      <c r="D73" t="s">
        <v>501</v>
      </c>
      <c r="E73" t="s">
        <v>502</v>
      </c>
      <c r="F73" t="s">
        <v>569</v>
      </c>
      <c r="G73" t="s">
        <v>569</v>
      </c>
      <c r="H73" t="s">
        <v>569</v>
      </c>
      <c r="I73" t="s">
        <v>569</v>
      </c>
      <c r="J73" t="s">
        <v>569</v>
      </c>
      <c r="K73" t="s">
        <v>569</v>
      </c>
      <c r="L73" t="s">
        <v>569</v>
      </c>
      <c r="M73" t="s">
        <v>569</v>
      </c>
      <c r="N73" t="s">
        <v>569</v>
      </c>
      <c r="O73" t="s">
        <v>569</v>
      </c>
      <c r="P73" t="s">
        <v>569</v>
      </c>
      <c r="Q73" t="s">
        <v>569</v>
      </c>
      <c r="R73">
        <v>49</v>
      </c>
      <c r="S73" t="s">
        <v>1213</v>
      </c>
      <c r="T73">
        <v>-123.12</v>
      </c>
      <c r="U73" t="s">
        <v>1206</v>
      </c>
      <c r="V73" t="s">
        <v>569</v>
      </c>
      <c r="W73" t="s">
        <v>569</v>
      </c>
      <c r="X73" t="s">
        <v>569</v>
      </c>
      <c r="Y73" t="s">
        <v>569</v>
      </c>
      <c r="Z73" t="s">
        <v>569</v>
      </c>
      <c r="AA73" t="s">
        <v>569</v>
      </c>
      <c r="AB73">
        <v>5000</v>
      </c>
      <c r="AC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4" spans="1:29" x14ac:dyDescent="0.25">
      <c r="A74" t="s">
        <v>569</v>
      </c>
      <c r="B74" t="s">
        <v>1210</v>
      </c>
      <c r="C74" t="s">
        <v>504</v>
      </c>
      <c r="D74" t="s">
        <v>501</v>
      </c>
      <c r="E74" t="s">
        <v>502</v>
      </c>
      <c r="F74" t="s">
        <v>569</v>
      </c>
      <c r="G74" t="s">
        <v>569</v>
      </c>
      <c r="H74" t="s">
        <v>569</v>
      </c>
      <c r="I74" t="s">
        <v>569</v>
      </c>
      <c r="J74" t="s">
        <v>569</v>
      </c>
      <c r="K74" t="s">
        <v>569</v>
      </c>
      <c r="L74" t="s">
        <v>569</v>
      </c>
      <c r="M74" t="s">
        <v>569</v>
      </c>
      <c r="N74" t="s">
        <v>569</v>
      </c>
      <c r="O74" t="s">
        <v>569</v>
      </c>
      <c r="P74" t="s">
        <v>569</v>
      </c>
      <c r="Q74" t="s">
        <v>569</v>
      </c>
      <c r="R74">
        <v>49.19</v>
      </c>
      <c r="S74" t="s">
        <v>1213</v>
      </c>
      <c r="T74">
        <v>-122.85</v>
      </c>
      <c r="U74" t="s">
        <v>1206</v>
      </c>
      <c r="V74" t="s">
        <v>569</v>
      </c>
      <c r="W74" t="s">
        <v>569</v>
      </c>
      <c r="X74" t="s">
        <v>569</v>
      </c>
      <c r="Y74" t="s">
        <v>569</v>
      </c>
      <c r="Z74" t="s">
        <v>569</v>
      </c>
      <c r="AA74" t="s">
        <v>569</v>
      </c>
      <c r="AB74">
        <v>5000</v>
      </c>
      <c r="AC7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5" spans="1:29" x14ac:dyDescent="0.25">
      <c r="A75" t="s">
        <v>569</v>
      </c>
      <c r="B75" t="s">
        <v>582</v>
      </c>
      <c r="C75" t="s">
        <v>504</v>
      </c>
      <c r="D75" t="s">
        <v>501</v>
      </c>
      <c r="E75" t="s">
        <v>502</v>
      </c>
      <c r="F75" t="s">
        <v>569</v>
      </c>
      <c r="G75" t="s">
        <v>569</v>
      </c>
      <c r="H75" t="s">
        <v>569</v>
      </c>
      <c r="I75" t="s">
        <v>569</v>
      </c>
      <c r="J75" t="s">
        <v>569</v>
      </c>
      <c r="K75" t="s">
        <v>569</v>
      </c>
      <c r="L75" t="s">
        <v>569</v>
      </c>
      <c r="M75" t="s">
        <v>569</v>
      </c>
      <c r="N75" t="s">
        <v>569</v>
      </c>
      <c r="O75" t="s">
        <v>569</v>
      </c>
      <c r="P75" t="s">
        <v>569</v>
      </c>
      <c r="Q75" t="s">
        <v>569</v>
      </c>
      <c r="R75">
        <v>49.23</v>
      </c>
      <c r="S75" t="s">
        <v>1213</v>
      </c>
      <c r="T75">
        <v>-124.81</v>
      </c>
      <c r="U75" t="s">
        <v>1206</v>
      </c>
      <c r="V75" t="s">
        <v>569</v>
      </c>
      <c r="W75" t="s">
        <v>569</v>
      </c>
      <c r="X75" t="s">
        <v>569</v>
      </c>
      <c r="Y75" t="s">
        <v>569</v>
      </c>
      <c r="Z75" t="s">
        <v>569</v>
      </c>
      <c r="AA75" t="s">
        <v>569</v>
      </c>
      <c r="AB75">
        <v>5000</v>
      </c>
      <c r="AC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6" spans="1:29" x14ac:dyDescent="0.25">
      <c r="A76" t="s">
        <v>569</v>
      </c>
      <c r="B76" t="s">
        <v>592</v>
      </c>
      <c r="C76" t="s">
        <v>504</v>
      </c>
      <c r="D76" t="s">
        <v>501</v>
      </c>
      <c r="E76" t="s">
        <v>502</v>
      </c>
      <c r="F76" t="s">
        <v>569</v>
      </c>
      <c r="G76" t="s">
        <v>569</v>
      </c>
      <c r="H76" t="s">
        <v>569</v>
      </c>
      <c r="I76" t="s">
        <v>569</v>
      </c>
      <c r="J76" t="s">
        <v>569</v>
      </c>
      <c r="K76" t="s">
        <v>569</v>
      </c>
      <c r="L76" t="s">
        <v>569</v>
      </c>
      <c r="M76" t="s">
        <v>569</v>
      </c>
      <c r="N76" t="s">
        <v>569</v>
      </c>
      <c r="O76" t="s">
        <v>569</v>
      </c>
      <c r="P76" t="s">
        <v>569</v>
      </c>
      <c r="Q76" t="s">
        <v>569</v>
      </c>
      <c r="R76">
        <v>48.94</v>
      </c>
      <c r="S76" t="s">
        <v>1213</v>
      </c>
      <c r="T76">
        <v>-125.55</v>
      </c>
      <c r="U76" t="s">
        <v>1206</v>
      </c>
      <c r="V76" t="s">
        <v>569</v>
      </c>
      <c r="W76" t="s">
        <v>569</v>
      </c>
      <c r="X76" t="s">
        <v>569</v>
      </c>
      <c r="Y76" t="s">
        <v>569</v>
      </c>
      <c r="Z76" t="s">
        <v>569</v>
      </c>
      <c r="AA76" t="s">
        <v>569</v>
      </c>
      <c r="AB76">
        <v>5000</v>
      </c>
      <c r="AC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7" spans="1:29" x14ac:dyDescent="0.25">
      <c r="A77" t="s">
        <v>569</v>
      </c>
      <c r="B77" t="s">
        <v>594</v>
      </c>
      <c r="C77" t="s">
        <v>504</v>
      </c>
      <c r="D77" t="s">
        <v>501</v>
      </c>
      <c r="E77" t="s">
        <v>502</v>
      </c>
      <c r="F77" t="s">
        <v>569</v>
      </c>
      <c r="G77" t="s">
        <v>569</v>
      </c>
      <c r="H77" t="s">
        <v>569</v>
      </c>
      <c r="I77" t="s">
        <v>569</v>
      </c>
      <c r="J77" t="s">
        <v>569</v>
      </c>
      <c r="K77" t="s">
        <v>569</v>
      </c>
      <c r="L77" t="s">
        <v>569</v>
      </c>
      <c r="M77" t="s">
        <v>569</v>
      </c>
      <c r="N77" t="s">
        <v>569</v>
      </c>
      <c r="O77" t="s">
        <v>569</v>
      </c>
      <c r="P77" t="s">
        <v>569</v>
      </c>
      <c r="Q77" t="s">
        <v>569</v>
      </c>
      <c r="R77">
        <v>49.15</v>
      </c>
      <c r="S77" t="s">
        <v>1213</v>
      </c>
      <c r="T77">
        <v>-125.9</v>
      </c>
      <c r="U77" t="s">
        <v>1206</v>
      </c>
      <c r="V77" t="s">
        <v>569</v>
      </c>
      <c r="W77" t="s">
        <v>569</v>
      </c>
      <c r="X77" t="s">
        <v>569</v>
      </c>
      <c r="Y77" t="s">
        <v>569</v>
      </c>
      <c r="Z77" t="s">
        <v>569</v>
      </c>
      <c r="AA77" t="s">
        <v>569</v>
      </c>
      <c r="AB77">
        <v>5000</v>
      </c>
      <c r="AC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8" spans="1:29" x14ac:dyDescent="0.25">
      <c r="A78" t="s">
        <v>569</v>
      </c>
      <c r="B78" t="s">
        <v>1036</v>
      </c>
      <c r="C78" t="s">
        <v>504</v>
      </c>
      <c r="D78" t="s">
        <v>501</v>
      </c>
      <c r="E78" t="s">
        <v>502</v>
      </c>
      <c r="F78" t="s">
        <v>569</v>
      </c>
      <c r="G78" t="s">
        <v>569</v>
      </c>
      <c r="H78" t="s">
        <v>569</v>
      </c>
      <c r="I78" t="s">
        <v>569</v>
      </c>
      <c r="J78" t="s">
        <v>569</v>
      </c>
      <c r="K78" t="s">
        <v>569</v>
      </c>
      <c r="L78" t="s">
        <v>569</v>
      </c>
      <c r="M78" t="s">
        <v>569</v>
      </c>
      <c r="N78" t="s">
        <v>569</v>
      </c>
      <c r="O78" t="s">
        <v>569</v>
      </c>
      <c r="P78" t="s">
        <v>569</v>
      </c>
      <c r="Q78" t="s">
        <v>569</v>
      </c>
      <c r="R78">
        <v>48.92</v>
      </c>
      <c r="S78" t="s">
        <v>1213</v>
      </c>
      <c r="T78">
        <v>-123.72</v>
      </c>
      <c r="U78" t="s">
        <v>1206</v>
      </c>
      <c r="V78" t="s">
        <v>569</v>
      </c>
      <c r="W78" t="s">
        <v>569</v>
      </c>
      <c r="X78" t="s">
        <v>569</v>
      </c>
      <c r="Y78" t="s">
        <v>569</v>
      </c>
      <c r="Z78" t="s">
        <v>569</v>
      </c>
      <c r="AA78" t="s">
        <v>569</v>
      </c>
      <c r="AB78">
        <v>5000</v>
      </c>
      <c r="AC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79" spans="1:29" x14ac:dyDescent="0.25">
      <c r="A79" t="s">
        <v>569</v>
      </c>
      <c r="B79" t="s">
        <v>600</v>
      </c>
      <c r="C79" t="s">
        <v>504</v>
      </c>
      <c r="D79" t="s">
        <v>501</v>
      </c>
      <c r="E79" t="s">
        <v>502</v>
      </c>
      <c r="F79" t="s">
        <v>569</v>
      </c>
      <c r="G79" t="s">
        <v>569</v>
      </c>
      <c r="H79" t="s">
        <v>569</v>
      </c>
      <c r="I79" t="s">
        <v>569</v>
      </c>
      <c r="J79" t="s">
        <v>569</v>
      </c>
      <c r="K79" t="s">
        <v>569</v>
      </c>
      <c r="L79" t="s">
        <v>569</v>
      </c>
      <c r="M79" t="s">
        <v>569</v>
      </c>
      <c r="N79" t="s">
        <v>569</v>
      </c>
      <c r="O79" t="s">
        <v>569</v>
      </c>
      <c r="P79" t="s">
        <v>569</v>
      </c>
      <c r="Q79" t="s">
        <v>569</v>
      </c>
      <c r="R79">
        <v>48.55</v>
      </c>
      <c r="S79" t="s">
        <v>1213</v>
      </c>
      <c r="T79">
        <v>-124.42</v>
      </c>
      <c r="U79" t="s">
        <v>1206</v>
      </c>
      <c r="V79" t="s">
        <v>569</v>
      </c>
      <c r="W79" t="s">
        <v>569</v>
      </c>
      <c r="X79" t="s">
        <v>569</v>
      </c>
      <c r="Y79" t="s">
        <v>569</v>
      </c>
      <c r="Z79" t="s">
        <v>569</v>
      </c>
      <c r="AA79" t="s">
        <v>569</v>
      </c>
      <c r="AB79">
        <v>5000</v>
      </c>
      <c r="AC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0" spans="1:29" x14ac:dyDescent="0.25">
      <c r="A80" t="s">
        <v>569</v>
      </c>
      <c r="B80" t="s">
        <v>609</v>
      </c>
      <c r="C80" t="s">
        <v>613</v>
      </c>
      <c r="D80" t="s">
        <v>610</v>
      </c>
      <c r="E80" t="s">
        <v>611</v>
      </c>
      <c r="F80" t="s">
        <v>569</v>
      </c>
      <c r="G80" t="s">
        <v>569</v>
      </c>
      <c r="H80" t="s">
        <v>569</v>
      </c>
      <c r="I80" t="s">
        <v>569</v>
      </c>
      <c r="J80" t="s">
        <v>569</v>
      </c>
      <c r="K80" t="s">
        <v>569</v>
      </c>
      <c r="L80" t="s">
        <v>569</v>
      </c>
      <c r="M80" t="s">
        <v>569</v>
      </c>
      <c r="N80" t="s">
        <v>569</v>
      </c>
      <c r="O80" t="s">
        <v>569</v>
      </c>
      <c r="P80" t="s">
        <v>569</v>
      </c>
      <c r="Q80" t="s">
        <v>569</v>
      </c>
      <c r="R80">
        <v>35.950000000000003</v>
      </c>
      <c r="S80" t="s">
        <v>1213</v>
      </c>
      <c r="T80">
        <v>139.87</v>
      </c>
      <c r="U80" t="s">
        <v>1201</v>
      </c>
      <c r="V80" t="s">
        <v>569</v>
      </c>
      <c r="W80" t="s">
        <v>569</v>
      </c>
      <c r="X80" t="s">
        <v>569</v>
      </c>
      <c r="Y80" t="s">
        <v>569</v>
      </c>
      <c r="Z80" t="s">
        <v>569</v>
      </c>
      <c r="AA80" t="s">
        <v>569</v>
      </c>
      <c r="AB80">
        <v>5000</v>
      </c>
      <c r="AC8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1" spans="1:29" x14ac:dyDescent="0.25">
      <c r="A81" t="s">
        <v>569</v>
      </c>
      <c r="B81" t="s">
        <v>616</v>
      </c>
      <c r="C81" t="s">
        <v>618</v>
      </c>
      <c r="D81" t="s">
        <v>610</v>
      </c>
      <c r="E81" t="s">
        <v>611</v>
      </c>
      <c r="F81" t="s">
        <v>569</v>
      </c>
      <c r="G81" t="s">
        <v>569</v>
      </c>
      <c r="H81" t="s">
        <v>569</v>
      </c>
      <c r="I81" t="s">
        <v>569</v>
      </c>
      <c r="J81" t="s">
        <v>569</v>
      </c>
      <c r="K81" t="s">
        <v>569</v>
      </c>
      <c r="L81" t="s">
        <v>569</v>
      </c>
      <c r="M81" t="s">
        <v>569</v>
      </c>
      <c r="N81" t="s">
        <v>569</v>
      </c>
      <c r="O81" t="s">
        <v>569</v>
      </c>
      <c r="P81" t="s">
        <v>569</v>
      </c>
      <c r="Q81" t="s">
        <v>569</v>
      </c>
      <c r="R81">
        <v>35.71</v>
      </c>
      <c r="S81" t="s">
        <v>1213</v>
      </c>
      <c r="T81">
        <v>139.72999999999999</v>
      </c>
      <c r="U81" t="s">
        <v>1201</v>
      </c>
      <c r="V81" t="s">
        <v>569</v>
      </c>
      <c r="W81" t="s">
        <v>569</v>
      </c>
      <c r="X81" t="s">
        <v>569</v>
      </c>
      <c r="Y81" t="s">
        <v>569</v>
      </c>
      <c r="Z81" t="s">
        <v>569</v>
      </c>
      <c r="AA81" t="s">
        <v>569</v>
      </c>
      <c r="AB81">
        <v>5000</v>
      </c>
      <c r="AC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2" spans="1:29" x14ac:dyDescent="0.25">
      <c r="A82" t="s">
        <v>569</v>
      </c>
      <c r="B82" t="s">
        <v>1284</v>
      </c>
      <c r="C82" t="s">
        <v>621</v>
      </c>
      <c r="D82" t="s">
        <v>610</v>
      </c>
      <c r="E82" t="s">
        <v>611</v>
      </c>
      <c r="F82" t="s">
        <v>569</v>
      </c>
      <c r="G82" t="s">
        <v>569</v>
      </c>
      <c r="H82" t="s">
        <v>569</v>
      </c>
      <c r="I82" t="s">
        <v>569</v>
      </c>
      <c r="J82" t="s">
        <v>569</v>
      </c>
      <c r="K82" t="s">
        <v>569</v>
      </c>
      <c r="L82" t="s">
        <v>569</v>
      </c>
      <c r="M82" t="s">
        <v>569</v>
      </c>
      <c r="N82" t="s">
        <v>569</v>
      </c>
      <c r="O82" t="s">
        <v>569</v>
      </c>
      <c r="P82" t="s">
        <v>569</v>
      </c>
      <c r="Q82" t="s">
        <v>569</v>
      </c>
      <c r="R82">
        <v>34.950000000000003</v>
      </c>
      <c r="S82" t="s">
        <v>1213</v>
      </c>
      <c r="T82">
        <v>135.77000000000001</v>
      </c>
      <c r="U82" t="s">
        <v>1201</v>
      </c>
      <c r="V82" t="s">
        <v>569</v>
      </c>
      <c r="W82" t="s">
        <v>569</v>
      </c>
      <c r="X82" t="s">
        <v>569</v>
      </c>
      <c r="Y82" t="s">
        <v>569</v>
      </c>
      <c r="Z82" t="s">
        <v>569</v>
      </c>
      <c r="AA82" t="s">
        <v>569</v>
      </c>
      <c r="AB82">
        <v>5000</v>
      </c>
      <c r="AC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3" spans="1:29" x14ac:dyDescent="0.25">
      <c r="A83" t="s">
        <v>569</v>
      </c>
      <c r="B83" t="s">
        <v>619</v>
      </c>
      <c r="C83" t="s">
        <v>621</v>
      </c>
      <c r="D83" t="s">
        <v>610</v>
      </c>
      <c r="E83" t="s">
        <v>611</v>
      </c>
      <c r="F83" t="s">
        <v>569</v>
      </c>
      <c r="G83" t="s">
        <v>569</v>
      </c>
      <c r="H83" t="s">
        <v>569</v>
      </c>
      <c r="I83" t="s">
        <v>569</v>
      </c>
      <c r="J83" t="s">
        <v>569</v>
      </c>
      <c r="K83" t="s">
        <v>569</v>
      </c>
      <c r="L83" t="s">
        <v>569</v>
      </c>
      <c r="M83" t="s">
        <v>569</v>
      </c>
      <c r="N83" t="s">
        <v>569</v>
      </c>
      <c r="O83" t="s">
        <v>569</v>
      </c>
      <c r="P83" t="s">
        <v>569</v>
      </c>
      <c r="Q83" t="s">
        <v>569</v>
      </c>
      <c r="R83">
        <v>35.020000000000003</v>
      </c>
      <c r="S83" t="s">
        <v>1213</v>
      </c>
      <c r="T83">
        <v>135.76</v>
      </c>
      <c r="U83" t="s">
        <v>1201</v>
      </c>
      <c r="V83" t="s">
        <v>569</v>
      </c>
      <c r="W83" t="s">
        <v>569</v>
      </c>
      <c r="X83" t="s">
        <v>569</v>
      </c>
      <c r="Y83" t="s">
        <v>569</v>
      </c>
      <c r="Z83" t="s">
        <v>569</v>
      </c>
      <c r="AA83" t="s">
        <v>569</v>
      </c>
      <c r="AB83">
        <v>5000</v>
      </c>
      <c r="AC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4" spans="1:29" x14ac:dyDescent="0.25">
      <c r="A84" t="s">
        <v>569</v>
      </c>
      <c r="B84" t="s">
        <v>637</v>
      </c>
      <c r="C84" t="s">
        <v>504</v>
      </c>
      <c r="D84" t="s">
        <v>501</v>
      </c>
      <c r="E84" t="s">
        <v>502</v>
      </c>
      <c r="F84" t="s">
        <v>569</v>
      </c>
      <c r="G84" t="s">
        <v>569</v>
      </c>
      <c r="H84" t="s">
        <v>569</v>
      </c>
      <c r="I84" t="s">
        <v>569</v>
      </c>
      <c r="J84" t="s">
        <v>569</v>
      </c>
      <c r="K84" t="s">
        <v>569</v>
      </c>
      <c r="L84" t="s">
        <v>569</v>
      </c>
      <c r="M84" t="s">
        <v>569</v>
      </c>
      <c r="N84" t="s">
        <v>569</v>
      </c>
      <c r="O84" t="s">
        <v>569</v>
      </c>
      <c r="P84" t="s">
        <v>569</v>
      </c>
      <c r="Q84" t="s">
        <v>569</v>
      </c>
      <c r="R84">
        <v>51.3</v>
      </c>
      <c r="S84" t="s">
        <v>1213</v>
      </c>
      <c r="T84">
        <v>-116.96</v>
      </c>
      <c r="U84" t="s">
        <v>1206</v>
      </c>
      <c r="V84" t="s">
        <v>569</v>
      </c>
      <c r="W84" t="s">
        <v>569</v>
      </c>
      <c r="X84" t="s">
        <v>569</v>
      </c>
      <c r="Y84" t="s">
        <v>569</v>
      </c>
      <c r="Z84" t="s">
        <v>569</v>
      </c>
      <c r="AA84" t="s">
        <v>569</v>
      </c>
      <c r="AB84">
        <v>5000</v>
      </c>
      <c r="AC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5" spans="1:29" x14ac:dyDescent="0.25">
      <c r="A85" t="s">
        <v>569</v>
      </c>
      <c r="B85" t="s">
        <v>640</v>
      </c>
      <c r="C85" t="s">
        <v>504</v>
      </c>
      <c r="D85" t="s">
        <v>501</v>
      </c>
      <c r="E85" t="s">
        <v>502</v>
      </c>
      <c r="F85" t="s">
        <v>569</v>
      </c>
      <c r="G85" t="s">
        <v>569</v>
      </c>
      <c r="H85" t="s">
        <v>569</v>
      </c>
      <c r="I85" t="s">
        <v>569</v>
      </c>
      <c r="J85" t="s">
        <v>569</v>
      </c>
      <c r="K85" t="s">
        <v>569</v>
      </c>
      <c r="L85" t="s">
        <v>569</v>
      </c>
      <c r="M85" t="s">
        <v>569</v>
      </c>
      <c r="N85" t="s">
        <v>569</v>
      </c>
      <c r="O85" t="s">
        <v>569</v>
      </c>
      <c r="P85" t="s">
        <v>569</v>
      </c>
      <c r="Q85" t="s">
        <v>569</v>
      </c>
      <c r="R85">
        <v>49.29</v>
      </c>
      <c r="S85" t="s">
        <v>1213</v>
      </c>
      <c r="T85">
        <v>-124.37</v>
      </c>
      <c r="U85" t="s">
        <v>1206</v>
      </c>
      <c r="V85" t="s">
        <v>569</v>
      </c>
      <c r="W85" t="s">
        <v>569</v>
      </c>
      <c r="X85" t="s">
        <v>569</v>
      </c>
      <c r="Y85" t="s">
        <v>569</v>
      </c>
      <c r="Z85" t="s">
        <v>569</v>
      </c>
      <c r="AA85" t="s">
        <v>569</v>
      </c>
      <c r="AB85">
        <v>5000</v>
      </c>
      <c r="AC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6" spans="1:29" x14ac:dyDescent="0.25">
      <c r="A86" t="s">
        <v>569</v>
      </c>
      <c r="B86" t="s">
        <v>1285</v>
      </c>
      <c r="C86" t="s">
        <v>1286</v>
      </c>
      <c r="D86" t="s">
        <v>1041</v>
      </c>
      <c r="E86" t="s">
        <v>1287</v>
      </c>
      <c r="F86" t="s">
        <v>569</v>
      </c>
      <c r="G86" t="s">
        <v>569</v>
      </c>
      <c r="H86" t="s">
        <v>569</v>
      </c>
      <c r="I86" t="s">
        <v>569</v>
      </c>
      <c r="J86" t="s">
        <v>569</v>
      </c>
      <c r="K86" t="s">
        <v>569</v>
      </c>
      <c r="L86" t="s">
        <v>569</v>
      </c>
      <c r="M86" t="s">
        <v>569</v>
      </c>
      <c r="N86" t="s">
        <v>569</v>
      </c>
      <c r="O86" t="s">
        <v>569</v>
      </c>
      <c r="P86" t="s">
        <v>569</v>
      </c>
      <c r="Q86" t="s">
        <v>569</v>
      </c>
      <c r="R86">
        <v>12.15</v>
      </c>
      <c r="S86" t="s">
        <v>1213</v>
      </c>
      <c r="T86">
        <v>-68.95</v>
      </c>
      <c r="U86" t="s">
        <v>1206</v>
      </c>
      <c r="V86" t="s">
        <v>569</v>
      </c>
      <c r="W86" t="s">
        <v>569</v>
      </c>
      <c r="X86" t="s">
        <v>569</v>
      </c>
      <c r="Y86" t="s">
        <v>569</v>
      </c>
      <c r="Z86" t="s">
        <v>569</v>
      </c>
      <c r="AA86" t="s">
        <v>569</v>
      </c>
      <c r="AB86">
        <v>5000</v>
      </c>
      <c r="AC8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7" spans="1:29" x14ac:dyDescent="0.25">
      <c r="A87" t="s">
        <v>569</v>
      </c>
      <c r="B87" t="s">
        <v>651</v>
      </c>
      <c r="C87" t="s">
        <v>655</v>
      </c>
      <c r="D87" t="s">
        <v>652</v>
      </c>
      <c r="E87" t="s">
        <v>653</v>
      </c>
      <c r="F87" t="s">
        <v>569</v>
      </c>
      <c r="G87" t="s">
        <v>569</v>
      </c>
      <c r="H87" t="s">
        <v>569</v>
      </c>
      <c r="I87" t="s">
        <v>569</v>
      </c>
      <c r="J87" t="s">
        <v>569</v>
      </c>
      <c r="K87" t="s">
        <v>569</v>
      </c>
      <c r="L87" t="s">
        <v>569</v>
      </c>
      <c r="M87" t="s">
        <v>569</v>
      </c>
      <c r="N87" t="s">
        <v>569</v>
      </c>
      <c r="O87" t="s">
        <v>569</v>
      </c>
      <c r="P87" t="s">
        <v>569</v>
      </c>
      <c r="Q87" t="s">
        <v>569</v>
      </c>
      <c r="R87">
        <v>18.47</v>
      </c>
      <c r="S87" t="s">
        <v>1213</v>
      </c>
      <c r="T87">
        <v>-66.12</v>
      </c>
      <c r="U87" t="s">
        <v>1206</v>
      </c>
      <c r="V87" t="s">
        <v>569</v>
      </c>
      <c r="W87" t="s">
        <v>569</v>
      </c>
      <c r="X87" t="s">
        <v>569</v>
      </c>
      <c r="Y87" t="s">
        <v>569</v>
      </c>
      <c r="Z87" t="s">
        <v>569</v>
      </c>
      <c r="AA87" t="s">
        <v>569</v>
      </c>
      <c r="AB87">
        <v>5000</v>
      </c>
      <c r="AC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8" spans="1:29" x14ac:dyDescent="0.25">
      <c r="A88" t="s">
        <v>569</v>
      </c>
      <c r="B88" t="s">
        <v>1042</v>
      </c>
      <c r="C88" t="s">
        <v>655</v>
      </c>
      <c r="D88" t="s">
        <v>652</v>
      </c>
      <c r="E88" t="s">
        <v>653</v>
      </c>
      <c r="F88" t="s">
        <v>569</v>
      </c>
      <c r="G88" t="s">
        <v>569</v>
      </c>
      <c r="H88" t="s">
        <v>569</v>
      </c>
      <c r="I88" t="s">
        <v>569</v>
      </c>
      <c r="J88" t="s">
        <v>569</v>
      </c>
      <c r="K88" t="s">
        <v>569</v>
      </c>
      <c r="L88" t="s">
        <v>569</v>
      </c>
      <c r="M88" t="s">
        <v>569</v>
      </c>
      <c r="N88" t="s">
        <v>569</v>
      </c>
      <c r="O88" t="s">
        <v>569</v>
      </c>
      <c r="P88" t="s">
        <v>569</v>
      </c>
      <c r="Q88" t="s">
        <v>569</v>
      </c>
      <c r="R88">
        <v>17.97</v>
      </c>
      <c r="S88" t="s">
        <v>1213</v>
      </c>
      <c r="T88">
        <v>-66.91</v>
      </c>
      <c r="U88" t="s">
        <v>1206</v>
      </c>
      <c r="V88" t="s">
        <v>569</v>
      </c>
      <c r="W88" t="s">
        <v>569</v>
      </c>
      <c r="X88" t="s">
        <v>569</v>
      </c>
      <c r="Y88" t="s">
        <v>569</v>
      </c>
      <c r="Z88" t="s">
        <v>569</v>
      </c>
      <c r="AA88" t="s">
        <v>569</v>
      </c>
      <c r="AB88">
        <v>5000</v>
      </c>
      <c r="AC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89" spans="1:29" x14ac:dyDescent="0.25">
      <c r="A89" t="s">
        <v>569</v>
      </c>
      <c r="B89" t="s">
        <v>657</v>
      </c>
      <c r="C89" t="s">
        <v>655</v>
      </c>
      <c r="D89" t="s">
        <v>652</v>
      </c>
      <c r="E89" t="s">
        <v>653</v>
      </c>
      <c r="F89" t="s">
        <v>569</v>
      </c>
      <c r="G89" t="s">
        <v>569</v>
      </c>
      <c r="H89" t="s">
        <v>569</v>
      </c>
      <c r="I89" t="s">
        <v>569</v>
      </c>
      <c r="J89" t="s">
        <v>569</v>
      </c>
      <c r="K89" t="s">
        <v>569</v>
      </c>
      <c r="L89" t="s">
        <v>569</v>
      </c>
      <c r="M89" t="s">
        <v>569</v>
      </c>
      <c r="N89" t="s">
        <v>569</v>
      </c>
      <c r="O89" t="s">
        <v>569</v>
      </c>
      <c r="P89" t="s">
        <v>569</v>
      </c>
      <c r="Q89" t="s">
        <v>569</v>
      </c>
      <c r="R89">
        <v>18.010000000000002</v>
      </c>
      <c r="S89" t="s">
        <v>1213</v>
      </c>
      <c r="T89">
        <v>-66.61</v>
      </c>
      <c r="U89" t="s">
        <v>1206</v>
      </c>
      <c r="V89" t="s">
        <v>569</v>
      </c>
      <c r="W89" t="s">
        <v>569</v>
      </c>
      <c r="X89" t="s">
        <v>569</v>
      </c>
      <c r="Y89" t="s">
        <v>569</v>
      </c>
      <c r="Z89" t="s">
        <v>569</v>
      </c>
      <c r="AA89" t="s">
        <v>569</v>
      </c>
      <c r="AB89">
        <v>5000</v>
      </c>
      <c r="AC8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0" spans="1:29" x14ac:dyDescent="0.25">
      <c r="A90" t="s">
        <v>569</v>
      </c>
      <c r="B90" t="s">
        <v>672</v>
      </c>
      <c r="C90" t="s">
        <v>504</v>
      </c>
      <c r="D90" t="s">
        <v>501</v>
      </c>
      <c r="E90" t="s">
        <v>502</v>
      </c>
      <c r="F90" t="s">
        <v>569</v>
      </c>
      <c r="G90" t="s">
        <v>569</v>
      </c>
      <c r="H90" t="s">
        <v>569</v>
      </c>
      <c r="I90" t="s">
        <v>569</v>
      </c>
      <c r="J90" t="s">
        <v>569</v>
      </c>
      <c r="K90" t="s">
        <v>569</v>
      </c>
      <c r="L90" t="s">
        <v>569</v>
      </c>
      <c r="M90" t="s">
        <v>569</v>
      </c>
      <c r="N90" t="s">
        <v>569</v>
      </c>
      <c r="O90" t="s">
        <v>569</v>
      </c>
      <c r="P90" t="s">
        <v>569</v>
      </c>
      <c r="Q90" t="s">
        <v>569</v>
      </c>
      <c r="R90">
        <v>49.89</v>
      </c>
      <c r="S90" t="s">
        <v>1213</v>
      </c>
      <c r="T90">
        <v>-119.5</v>
      </c>
      <c r="U90" t="s">
        <v>1206</v>
      </c>
      <c r="V90" t="s">
        <v>569</v>
      </c>
      <c r="W90" t="s">
        <v>569</v>
      </c>
      <c r="X90" t="s">
        <v>569</v>
      </c>
      <c r="Y90" t="s">
        <v>569</v>
      </c>
      <c r="Z90" t="s">
        <v>569</v>
      </c>
      <c r="AA90" t="s">
        <v>569</v>
      </c>
      <c r="AB90">
        <v>5000</v>
      </c>
      <c r="AC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1" spans="1:29" x14ac:dyDescent="0.25">
      <c r="A91" t="s">
        <v>569</v>
      </c>
      <c r="B91" t="s">
        <v>696</v>
      </c>
      <c r="C91" t="s">
        <v>677</v>
      </c>
      <c r="D91" t="s">
        <v>522</v>
      </c>
      <c r="E91" t="s">
        <v>523</v>
      </c>
      <c r="F91" t="s">
        <v>569</v>
      </c>
      <c r="G91" t="s">
        <v>569</v>
      </c>
      <c r="H91" t="s">
        <v>569</v>
      </c>
      <c r="I91" t="s">
        <v>569</v>
      </c>
      <c r="J91" t="s">
        <v>569</v>
      </c>
      <c r="K91" t="s">
        <v>569</v>
      </c>
      <c r="L91" t="s">
        <v>569</v>
      </c>
      <c r="M91" t="s">
        <v>569</v>
      </c>
      <c r="N91" t="s">
        <v>569</v>
      </c>
      <c r="O91" t="s">
        <v>569</v>
      </c>
      <c r="P91" t="s">
        <v>569</v>
      </c>
      <c r="Q91" t="s">
        <v>569</v>
      </c>
      <c r="R91">
        <v>-33.869999999999997</v>
      </c>
      <c r="S91" t="s">
        <v>1111</v>
      </c>
      <c r="T91">
        <v>151.21</v>
      </c>
      <c r="U91" t="s">
        <v>1201</v>
      </c>
      <c r="V91" t="s">
        <v>569</v>
      </c>
      <c r="W91" t="s">
        <v>569</v>
      </c>
      <c r="X91" t="s">
        <v>569</v>
      </c>
      <c r="Y91" t="s">
        <v>569</v>
      </c>
      <c r="Z91" t="s">
        <v>569</v>
      </c>
      <c r="AA91" t="s">
        <v>569</v>
      </c>
      <c r="AB91">
        <v>5000</v>
      </c>
      <c r="AC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2" spans="1:29" x14ac:dyDescent="0.25">
      <c r="A92" t="s">
        <v>569</v>
      </c>
      <c r="B92" t="s">
        <v>679</v>
      </c>
      <c r="C92" t="s">
        <v>683</v>
      </c>
      <c r="D92" t="s">
        <v>680</v>
      </c>
      <c r="E92" t="s">
        <v>681</v>
      </c>
      <c r="F92" t="s">
        <v>569</v>
      </c>
      <c r="G92" t="s">
        <v>569</v>
      </c>
      <c r="H92" t="s">
        <v>569</v>
      </c>
      <c r="I92" t="s">
        <v>569</v>
      </c>
      <c r="J92" t="s">
        <v>569</v>
      </c>
      <c r="K92" t="s">
        <v>569</v>
      </c>
      <c r="L92" t="s">
        <v>569</v>
      </c>
      <c r="M92" t="s">
        <v>569</v>
      </c>
      <c r="N92" t="s">
        <v>569</v>
      </c>
      <c r="O92" t="s">
        <v>569</v>
      </c>
      <c r="P92" t="s">
        <v>569</v>
      </c>
      <c r="Q92" t="s">
        <v>569</v>
      </c>
      <c r="R92">
        <v>-17.77</v>
      </c>
      <c r="S92" t="s">
        <v>1111</v>
      </c>
      <c r="T92">
        <v>177.37</v>
      </c>
      <c r="U92" t="s">
        <v>1201</v>
      </c>
      <c r="V92" t="s">
        <v>569</v>
      </c>
      <c r="W92" t="s">
        <v>569</v>
      </c>
      <c r="X92" t="s">
        <v>569</v>
      </c>
      <c r="Y92" t="s">
        <v>569</v>
      </c>
      <c r="Z92" t="s">
        <v>569</v>
      </c>
      <c r="AA92" t="s">
        <v>569</v>
      </c>
      <c r="AB92">
        <v>5000</v>
      </c>
      <c r="AC9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3" spans="1:29" x14ac:dyDescent="0.25">
      <c r="A93" t="s">
        <v>569</v>
      </c>
      <c r="B93" t="s">
        <v>705</v>
      </c>
      <c r="C93" t="s">
        <v>707</v>
      </c>
      <c r="D93" t="s">
        <v>522</v>
      </c>
      <c r="E93" t="s">
        <v>523</v>
      </c>
      <c r="F93" t="s">
        <v>569</v>
      </c>
      <c r="G93" t="s">
        <v>569</v>
      </c>
      <c r="H93" t="s">
        <v>569</v>
      </c>
      <c r="I93" t="s">
        <v>569</v>
      </c>
      <c r="J93" t="s">
        <v>569</v>
      </c>
      <c r="K93" t="s">
        <v>569</v>
      </c>
      <c r="L93" t="s">
        <v>569</v>
      </c>
      <c r="M93" t="s">
        <v>569</v>
      </c>
      <c r="N93" t="s">
        <v>569</v>
      </c>
      <c r="O93" t="s">
        <v>569</v>
      </c>
      <c r="P93" t="s">
        <v>569</v>
      </c>
      <c r="Q93" t="s">
        <v>569</v>
      </c>
      <c r="R93">
        <v>-20.27</v>
      </c>
      <c r="S93" t="s">
        <v>1111</v>
      </c>
      <c r="T93">
        <v>148.72</v>
      </c>
      <c r="U93" t="s">
        <v>1201</v>
      </c>
      <c r="V93" t="s">
        <v>569</v>
      </c>
      <c r="W93" t="s">
        <v>569</v>
      </c>
      <c r="X93" t="s">
        <v>569</v>
      </c>
      <c r="Y93" t="s">
        <v>569</v>
      </c>
      <c r="Z93" t="s">
        <v>569</v>
      </c>
      <c r="AA93" t="s">
        <v>569</v>
      </c>
      <c r="AB93">
        <v>5000</v>
      </c>
      <c r="AC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4" spans="1:29" x14ac:dyDescent="0.25">
      <c r="A94" t="s">
        <v>569</v>
      </c>
      <c r="B94" t="s">
        <v>1046</v>
      </c>
      <c r="C94" t="s">
        <v>677</v>
      </c>
      <c r="D94" t="s">
        <v>522</v>
      </c>
      <c r="E94" t="s">
        <v>523</v>
      </c>
      <c r="F94" t="s">
        <v>569</v>
      </c>
      <c r="G94" t="s">
        <v>569</v>
      </c>
      <c r="H94" t="s">
        <v>569</v>
      </c>
      <c r="I94" t="s">
        <v>569</v>
      </c>
      <c r="J94" t="s">
        <v>569</v>
      </c>
      <c r="K94" t="s">
        <v>569</v>
      </c>
      <c r="L94" t="s">
        <v>569</v>
      </c>
      <c r="M94" t="s">
        <v>569</v>
      </c>
      <c r="N94" t="s">
        <v>569</v>
      </c>
      <c r="O94" t="s">
        <v>569</v>
      </c>
      <c r="P94" t="s">
        <v>569</v>
      </c>
      <c r="Q94" t="s">
        <v>569</v>
      </c>
      <c r="R94">
        <v>-33.630000000000003</v>
      </c>
      <c r="S94" t="s">
        <v>1111</v>
      </c>
      <c r="T94">
        <v>150.28</v>
      </c>
      <c r="U94" t="s">
        <v>1201</v>
      </c>
      <c r="V94" t="s">
        <v>569</v>
      </c>
      <c r="W94" t="s">
        <v>569</v>
      </c>
      <c r="X94" t="s">
        <v>569</v>
      </c>
      <c r="Y94" t="s">
        <v>569</v>
      </c>
      <c r="Z94" t="s">
        <v>569</v>
      </c>
      <c r="AA94" t="s">
        <v>569</v>
      </c>
      <c r="AB94">
        <v>5000</v>
      </c>
      <c r="AC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5" spans="1:29" x14ac:dyDescent="0.25">
      <c r="A95" t="s">
        <v>569</v>
      </c>
      <c r="B95" t="s">
        <v>686</v>
      </c>
      <c r="C95" t="s">
        <v>677</v>
      </c>
      <c r="D95" t="s">
        <v>522</v>
      </c>
      <c r="E95" t="s">
        <v>523</v>
      </c>
      <c r="F95" t="s">
        <v>569</v>
      </c>
      <c r="G95" t="s">
        <v>569</v>
      </c>
      <c r="H95" t="s">
        <v>569</v>
      </c>
      <c r="I95" t="s">
        <v>569</v>
      </c>
      <c r="J95" t="s">
        <v>569</v>
      </c>
      <c r="K95" t="s">
        <v>569</v>
      </c>
      <c r="L95" t="s">
        <v>569</v>
      </c>
      <c r="M95" t="s">
        <v>569</v>
      </c>
      <c r="N95" t="s">
        <v>569</v>
      </c>
      <c r="O95" t="s">
        <v>569</v>
      </c>
      <c r="P95" t="s">
        <v>569</v>
      </c>
      <c r="Q95" t="s">
        <v>569</v>
      </c>
      <c r="R95">
        <v>-33.71</v>
      </c>
      <c r="S95" t="s">
        <v>1111</v>
      </c>
      <c r="T95">
        <v>150.31</v>
      </c>
      <c r="U95" t="s">
        <v>1201</v>
      </c>
      <c r="V95" t="s">
        <v>569</v>
      </c>
      <c r="W95" t="s">
        <v>569</v>
      </c>
      <c r="X95" t="s">
        <v>569</v>
      </c>
      <c r="Y95" t="s">
        <v>569</v>
      </c>
      <c r="Z95" t="s">
        <v>569</v>
      </c>
      <c r="AA95" t="s">
        <v>569</v>
      </c>
      <c r="AB95">
        <v>5000</v>
      </c>
      <c r="AC9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6" spans="1:29" x14ac:dyDescent="0.25">
      <c r="A96" t="s">
        <v>569</v>
      </c>
      <c r="B96" t="s">
        <v>1288</v>
      </c>
      <c r="C96" t="s">
        <v>677</v>
      </c>
      <c r="D96" t="s">
        <v>522</v>
      </c>
      <c r="E96" t="s">
        <v>523</v>
      </c>
      <c r="F96" t="s">
        <v>569</v>
      </c>
      <c r="G96" t="s">
        <v>569</v>
      </c>
      <c r="H96" t="s">
        <v>569</v>
      </c>
      <c r="I96" t="s">
        <v>569</v>
      </c>
      <c r="J96" t="s">
        <v>569</v>
      </c>
      <c r="K96" t="s">
        <v>569</v>
      </c>
      <c r="L96" t="s">
        <v>569</v>
      </c>
      <c r="M96" t="s">
        <v>569</v>
      </c>
      <c r="N96" t="s">
        <v>569</v>
      </c>
      <c r="O96" t="s">
        <v>569</v>
      </c>
      <c r="P96" t="s">
        <v>569</v>
      </c>
      <c r="Q96" t="s">
        <v>569</v>
      </c>
      <c r="R96">
        <v>-33.82</v>
      </c>
      <c r="S96" t="s">
        <v>1111</v>
      </c>
      <c r="T96">
        <v>150.02000000000001</v>
      </c>
      <c r="U96" t="s">
        <v>1201</v>
      </c>
      <c r="V96" t="s">
        <v>569</v>
      </c>
      <c r="W96" t="s">
        <v>569</v>
      </c>
      <c r="X96" t="s">
        <v>569</v>
      </c>
      <c r="Y96" t="s">
        <v>569</v>
      </c>
      <c r="Z96" t="s">
        <v>569</v>
      </c>
      <c r="AA96" t="s">
        <v>569</v>
      </c>
      <c r="AB96">
        <v>5000</v>
      </c>
      <c r="AC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7" spans="1:29" x14ac:dyDescent="0.25">
      <c r="A97" t="s">
        <v>569</v>
      </c>
      <c r="B97" t="s">
        <v>991</v>
      </c>
      <c r="C97" t="s">
        <v>707</v>
      </c>
      <c r="D97" t="s">
        <v>522</v>
      </c>
      <c r="E97" t="s">
        <v>523</v>
      </c>
      <c r="F97" t="s">
        <v>569</v>
      </c>
      <c r="G97" t="s">
        <v>569</v>
      </c>
      <c r="H97" t="s">
        <v>569</v>
      </c>
      <c r="I97" t="s">
        <v>569</v>
      </c>
      <c r="J97" t="s">
        <v>569</v>
      </c>
      <c r="K97" t="s">
        <v>569</v>
      </c>
      <c r="L97" t="s">
        <v>569</v>
      </c>
      <c r="M97" t="s">
        <v>569</v>
      </c>
      <c r="N97" t="s">
        <v>569</v>
      </c>
      <c r="O97" t="s">
        <v>569</v>
      </c>
      <c r="P97" t="s">
        <v>569</v>
      </c>
      <c r="Q97" t="s">
        <v>569</v>
      </c>
      <c r="R97">
        <v>-20.350000000000001</v>
      </c>
      <c r="S97" t="s">
        <v>1111</v>
      </c>
      <c r="T97">
        <v>148.96</v>
      </c>
      <c r="U97" t="s">
        <v>1201</v>
      </c>
      <c r="V97" t="s">
        <v>569</v>
      </c>
      <c r="W97" t="s">
        <v>569</v>
      </c>
      <c r="X97" t="s">
        <v>569</v>
      </c>
      <c r="Y97" t="s">
        <v>569</v>
      </c>
      <c r="Z97" t="s">
        <v>569</v>
      </c>
      <c r="AA97" t="s">
        <v>569</v>
      </c>
      <c r="AB97">
        <v>5000</v>
      </c>
      <c r="AC9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8" spans="1:29" x14ac:dyDescent="0.25">
      <c r="A98" t="s">
        <v>569</v>
      </c>
      <c r="B98" t="s">
        <v>708</v>
      </c>
      <c r="C98" t="s">
        <v>505</v>
      </c>
      <c r="D98" t="s">
        <v>522</v>
      </c>
      <c r="E98" t="s">
        <v>523</v>
      </c>
      <c r="F98" t="s">
        <v>569</v>
      </c>
      <c r="G98" t="s">
        <v>569</v>
      </c>
      <c r="H98" t="s">
        <v>569</v>
      </c>
      <c r="I98" t="s">
        <v>569</v>
      </c>
      <c r="J98" t="s">
        <v>569</v>
      </c>
      <c r="K98" t="s">
        <v>569</v>
      </c>
      <c r="L98" t="s">
        <v>569</v>
      </c>
      <c r="M98" t="s">
        <v>569</v>
      </c>
      <c r="N98" t="s">
        <v>569</v>
      </c>
      <c r="O98" t="s">
        <v>569</v>
      </c>
      <c r="P98" t="s">
        <v>569</v>
      </c>
      <c r="Q98" t="s">
        <v>569</v>
      </c>
      <c r="R98">
        <v>-37.56</v>
      </c>
      <c r="S98" t="s">
        <v>1111</v>
      </c>
      <c r="T98">
        <v>143.86000000000001</v>
      </c>
      <c r="U98" t="s">
        <v>1201</v>
      </c>
      <c r="V98" t="s">
        <v>569</v>
      </c>
      <c r="W98" t="s">
        <v>569</v>
      </c>
      <c r="X98" t="s">
        <v>569</v>
      </c>
      <c r="Y98" t="s">
        <v>569</v>
      </c>
      <c r="Z98" t="s">
        <v>569</v>
      </c>
      <c r="AA98" t="s">
        <v>569</v>
      </c>
      <c r="AB98">
        <v>5000</v>
      </c>
      <c r="AC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99" spans="1:29" x14ac:dyDescent="0.25">
      <c r="A99" t="s">
        <v>569</v>
      </c>
      <c r="B99" t="s">
        <v>712</v>
      </c>
      <c r="C99" t="s">
        <v>525</v>
      </c>
      <c r="D99" t="s">
        <v>522</v>
      </c>
      <c r="E99" t="s">
        <v>523</v>
      </c>
      <c r="F99" t="s">
        <v>569</v>
      </c>
      <c r="G99" t="s">
        <v>569</v>
      </c>
      <c r="H99" t="s">
        <v>569</v>
      </c>
      <c r="I99" t="s">
        <v>569</v>
      </c>
      <c r="J99" t="s">
        <v>569</v>
      </c>
      <c r="K99" t="s">
        <v>569</v>
      </c>
      <c r="L99" t="s">
        <v>569</v>
      </c>
      <c r="M99" t="s">
        <v>569</v>
      </c>
      <c r="N99" t="s">
        <v>569</v>
      </c>
      <c r="O99" t="s">
        <v>569</v>
      </c>
      <c r="P99" t="s">
        <v>569</v>
      </c>
      <c r="Q99" t="s">
        <v>569</v>
      </c>
      <c r="R99">
        <v>-32.049999999999997</v>
      </c>
      <c r="S99" t="s">
        <v>1111</v>
      </c>
      <c r="T99">
        <v>115.76</v>
      </c>
      <c r="U99" t="s">
        <v>1201</v>
      </c>
      <c r="V99" t="s">
        <v>569</v>
      </c>
      <c r="W99" t="s">
        <v>569</v>
      </c>
      <c r="X99" t="s">
        <v>569</v>
      </c>
      <c r="Y99" t="s">
        <v>569</v>
      </c>
      <c r="Z99" t="s">
        <v>569</v>
      </c>
      <c r="AA99" t="s">
        <v>569</v>
      </c>
      <c r="AB99">
        <v>5000</v>
      </c>
      <c r="AC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0" spans="1:29" x14ac:dyDescent="0.25">
      <c r="A100" t="s">
        <v>569</v>
      </c>
      <c r="B100" t="s">
        <v>716</v>
      </c>
      <c r="C100" t="s">
        <v>525</v>
      </c>
      <c r="D100" t="s">
        <v>522</v>
      </c>
      <c r="E100" t="s">
        <v>523</v>
      </c>
      <c r="F100" t="s">
        <v>569</v>
      </c>
      <c r="G100" t="s">
        <v>569</v>
      </c>
      <c r="H100" t="s">
        <v>569</v>
      </c>
      <c r="I100" t="s">
        <v>569</v>
      </c>
      <c r="J100" t="s">
        <v>569</v>
      </c>
      <c r="K100" t="s">
        <v>569</v>
      </c>
      <c r="L100" t="s">
        <v>569</v>
      </c>
      <c r="M100" t="s">
        <v>569</v>
      </c>
      <c r="N100" t="s">
        <v>569</v>
      </c>
      <c r="O100" t="s">
        <v>569</v>
      </c>
      <c r="P100" t="s">
        <v>569</v>
      </c>
      <c r="Q100" t="s">
        <v>569</v>
      </c>
      <c r="R100">
        <v>-31.85</v>
      </c>
      <c r="S100" t="s">
        <v>1111</v>
      </c>
      <c r="T100">
        <v>115.98</v>
      </c>
      <c r="U100" t="s">
        <v>1201</v>
      </c>
      <c r="V100" t="s">
        <v>569</v>
      </c>
      <c r="W100" t="s">
        <v>569</v>
      </c>
      <c r="X100" t="s">
        <v>569</v>
      </c>
      <c r="Y100" t="s">
        <v>569</v>
      </c>
      <c r="Z100" t="s">
        <v>569</v>
      </c>
      <c r="AA100" t="s">
        <v>569</v>
      </c>
      <c r="AB100">
        <v>5000</v>
      </c>
      <c r="AC10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1" spans="1:29" x14ac:dyDescent="0.25">
      <c r="A101" t="s">
        <v>569</v>
      </c>
      <c r="B101" t="s">
        <v>720</v>
      </c>
      <c r="C101" t="s">
        <v>525</v>
      </c>
      <c r="D101" t="s">
        <v>522</v>
      </c>
      <c r="E101" t="s">
        <v>523</v>
      </c>
      <c r="F101" t="s">
        <v>569</v>
      </c>
      <c r="G101" t="s">
        <v>569</v>
      </c>
      <c r="H101" t="s">
        <v>569</v>
      </c>
      <c r="I101" t="s">
        <v>569</v>
      </c>
      <c r="J101" t="s">
        <v>569</v>
      </c>
      <c r="K101" t="s">
        <v>569</v>
      </c>
      <c r="L101" t="s">
        <v>569</v>
      </c>
      <c r="M101" t="s">
        <v>569</v>
      </c>
      <c r="N101" t="s">
        <v>569</v>
      </c>
      <c r="O101" t="s">
        <v>569</v>
      </c>
      <c r="P101" t="s">
        <v>569</v>
      </c>
      <c r="Q101" t="s">
        <v>569</v>
      </c>
      <c r="R101">
        <v>-31.89</v>
      </c>
      <c r="S101" t="s">
        <v>1111</v>
      </c>
      <c r="T101">
        <v>115.99</v>
      </c>
      <c r="U101" t="s">
        <v>1201</v>
      </c>
      <c r="V101" t="s">
        <v>569</v>
      </c>
      <c r="W101" t="s">
        <v>569</v>
      </c>
      <c r="X101" t="s">
        <v>569</v>
      </c>
      <c r="Y101" t="s">
        <v>569</v>
      </c>
      <c r="Z101" t="s">
        <v>569</v>
      </c>
      <c r="AA101" t="s">
        <v>569</v>
      </c>
      <c r="AB101">
        <v>5000</v>
      </c>
      <c r="AC10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2" spans="1:29" x14ac:dyDescent="0.25">
      <c r="A102" t="s">
        <v>569</v>
      </c>
      <c r="B102" t="s">
        <v>722</v>
      </c>
      <c r="C102" t="s">
        <v>683</v>
      </c>
      <c r="D102" t="s">
        <v>680</v>
      </c>
      <c r="E102" t="s">
        <v>681</v>
      </c>
      <c r="F102" t="s">
        <v>569</v>
      </c>
      <c r="G102" t="s">
        <v>569</v>
      </c>
      <c r="H102" t="s">
        <v>569</v>
      </c>
      <c r="I102" t="s">
        <v>569</v>
      </c>
      <c r="J102" t="s">
        <v>569</v>
      </c>
      <c r="K102" t="s">
        <v>569</v>
      </c>
      <c r="L102" t="s">
        <v>569</v>
      </c>
      <c r="M102" t="s">
        <v>569</v>
      </c>
      <c r="N102" t="s">
        <v>569</v>
      </c>
      <c r="O102" t="s">
        <v>569</v>
      </c>
      <c r="P102" t="s">
        <v>569</v>
      </c>
      <c r="Q102" t="s">
        <v>569</v>
      </c>
      <c r="R102">
        <v>-17.77</v>
      </c>
      <c r="S102" t="s">
        <v>1111</v>
      </c>
      <c r="T102">
        <v>177.43</v>
      </c>
      <c r="U102" t="s">
        <v>1201</v>
      </c>
      <c r="V102" t="s">
        <v>569</v>
      </c>
      <c r="W102" t="s">
        <v>569</v>
      </c>
      <c r="X102" t="s">
        <v>569</v>
      </c>
      <c r="Y102" t="s">
        <v>569</v>
      </c>
      <c r="Z102" t="s">
        <v>569</v>
      </c>
      <c r="AA102" t="s">
        <v>569</v>
      </c>
      <c r="AB102">
        <v>5000</v>
      </c>
      <c r="AC1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3" spans="1:29" x14ac:dyDescent="0.25">
      <c r="A103" t="s">
        <v>569</v>
      </c>
      <c r="B103" t="s">
        <v>724</v>
      </c>
      <c r="C103" t="s">
        <v>725</v>
      </c>
      <c r="D103" t="s">
        <v>680</v>
      </c>
      <c r="E103" t="s">
        <v>681</v>
      </c>
      <c r="F103" t="s">
        <v>569</v>
      </c>
      <c r="G103" t="s">
        <v>569</v>
      </c>
      <c r="H103" t="s">
        <v>569</v>
      </c>
      <c r="I103" t="s">
        <v>569</v>
      </c>
      <c r="J103" t="s">
        <v>569</v>
      </c>
      <c r="K103" t="s">
        <v>569</v>
      </c>
      <c r="L103" t="s">
        <v>569</v>
      </c>
      <c r="M103" t="s">
        <v>569</v>
      </c>
      <c r="N103" t="s">
        <v>569</v>
      </c>
      <c r="O103" t="s">
        <v>569</v>
      </c>
      <c r="P103" t="s">
        <v>569</v>
      </c>
      <c r="Q103" t="s">
        <v>569</v>
      </c>
      <c r="R103">
        <v>-17.690000000000001</v>
      </c>
      <c r="S103" t="s">
        <v>1111</v>
      </c>
      <c r="T103">
        <v>177.31</v>
      </c>
      <c r="U103" t="s">
        <v>1201</v>
      </c>
      <c r="V103" t="s">
        <v>569</v>
      </c>
      <c r="W103" t="s">
        <v>569</v>
      </c>
      <c r="X103" t="s">
        <v>569</v>
      </c>
      <c r="Y103" t="s">
        <v>569</v>
      </c>
      <c r="Z103" t="s">
        <v>569</v>
      </c>
      <c r="AA103" t="s">
        <v>569</v>
      </c>
      <c r="AB103">
        <v>5000</v>
      </c>
      <c r="AC1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4" spans="1:29" x14ac:dyDescent="0.25">
      <c r="A104" t="s">
        <v>569</v>
      </c>
      <c r="B104" t="s">
        <v>726</v>
      </c>
      <c r="C104" t="s">
        <v>728</v>
      </c>
      <c r="D104" t="s">
        <v>652</v>
      </c>
      <c r="E104" t="s">
        <v>653</v>
      </c>
      <c r="F104" t="s">
        <v>569</v>
      </c>
      <c r="G104" t="s">
        <v>569</v>
      </c>
      <c r="H104" t="s">
        <v>569</v>
      </c>
      <c r="I104" t="s">
        <v>569</v>
      </c>
      <c r="J104" t="s">
        <v>569</v>
      </c>
      <c r="K104" t="s">
        <v>569</v>
      </c>
      <c r="L104" t="s">
        <v>569</v>
      </c>
      <c r="M104" t="s">
        <v>569</v>
      </c>
      <c r="N104" t="s">
        <v>569</v>
      </c>
      <c r="O104" t="s">
        <v>569</v>
      </c>
      <c r="P104" t="s">
        <v>569</v>
      </c>
      <c r="Q104" t="s">
        <v>569</v>
      </c>
      <c r="R104">
        <v>47.6</v>
      </c>
      <c r="S104" t="s">
        <v>1213</v>
      </c>
      <c r="T104">
        <v>-122.33</v>
      </c>
      <c r="U104" t="s">
        <v>1206</v>
      </c>
      <c r="V104" t="s">
        <v>569</v>
      </c>
      <c r="W104" t="s">
        <v>569</v>
      </c>
      <c r="X104" t="s">
        <v>569</v>
      </c>
      <c r="Y104" t="s">
        <v>569</v>
      </c>
      <c r="Z104" t="s">
        <v>569</v>
      </c>
      <c r="AA104" t="s">
        <v>569</v>
      </c>
      <c r="AB104">
        <v>5000</v>
      </c>
      <c r="AC10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5" spans="1:29" x14ac:dyDescent="0.25">
      <c r="A105" t="s">
        <v>569</v>
      </c>
      <c r="B105" t="s">
        <v>755</v>
      </c>
      <c r="C105" t="s">
        <v>755</v>
      </c>
      <c r="D105" t="s">
        <v>756</v>
      </c>
      <c r="E105" t="s">
        <v>757</v>
      </c>
      <c r="F105" t="s">
        <v>569</v>
      </c>
      <c r="G105" t="s">
        <v>569</v>
      </c>
      <c r="H105" t="s">
        <v>569</v>
      </c>
      <c r="I105" t="s">
        <v>569</v>
      </c>
      <c r="J105" t="s">
        <v>569</v>
      </c>
      <c r="K105" t="s">
        <v>569</v>
      </c>
      <c r="L105" t="s">
        <v>569</v>
      </c>
      <c r="M105" t="s">
        <v>569</v>
      </c>
      <c r="N105" t="s">
        <v>569</v>
      </c>
      <c r="O105" t="s">
        <v>569</v>
      </c>
      <c r="P105" t="s">
        <v>569</v>
      </c>
      <c r="Q105" t="s">
        <v>569</v>
      </c>
      <c r="R105">
        <v>13.36</v>
      </c>
      <c r="S105" t="s">
        <v>1213</v>
      </c>
      <c r="T105">
        <v>103.86</v>
      </c>
      <c r="U105" t="s">
        <v>1201</v>
      </c>
      <c r="V105" t="s">
        <v>569</v>
      </c>
      <c r="W105" t="s">
        <v>569</v>
      </c>
      <c r="X105" t="s">
        <v>569</v>
      </c>
      <c r="Y105" t="s">
        <v>569</v>
      </c>
      <c r="Z105" t="s">
        <v>569</v>
      </c>
      <c r="AA105" t="s">
        <v>569</v>
      </c>
      <c r="AB105">
        <v>5000</v>
      </c>
      <c r="AC10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6" spans="1:29" x14ac:dyDescent="0.25">
      <c r="A106" t="s">
        <v>569</v>
      </c>
      <c r="B106" t="s">
        <v>784</v>
      </c>
      <c r="C106" t="s">
        <v>784</v>
      </c>
      <c r="D106" t="s">
        <v>777</v>
      </c>
      <c r="E106" t="s">
        <v>778</v>
      </c>
      <c r="F106" t="s">
        <v>569</v>
      </c>
      <c r="G106" t="s">
        <v>569</v>
      </c>
      <c r="H106" t="s">
        <v>569</v>
      </c>
      <c r="I106" t="s">
        <v>569</v>
      </c>
      <c r="J106" t="s">
        <v>569</v>
      </c>
      <c r="K106" t="s">
        <v>569</v>
      </c>
      <c r="L106" t="s">
        <v>569</v>
      </c>
      <c r="M106" t="s">
        <v>569</v>
      </c>
      <c r="N106" t="s">
        <v>569</v>
      </c>
      <c r="O106" t="s">
        <v>569</v>
      </c>
      <c r="P106" t="s">
        <v>569</v>
      </c>
      <c r="Q106" t="s">
        <v>569</v>
      </c>
      <c r="R106">
        <v>13.75</v>
      </c>
      <c r="S106" t="s">
        <v>1213</v>
      </c>
      <c r="T106">
        <v>100.49</v>
      </c>
      <c r="U106" t="s">
        <v>1201</v>
      </c>
      <c r="V106" t="s">
        <v>569</v>
      </c>
      <c r="W106" t="s">
        <v>569</v>
      </c>
      <c r="X106" t="s">
        <v>569</v>
      </c>
      <c r="Y106" t="s">
        <v>569</v>
      </c>
      <c r="Z106" t="s">
        <v>569</v>
      </c>
      <c r="AA106" t="s">
        <v>569</v>
      </c>
      <c r="AB106">
        <v>5000</v>
      </c>
      <c r="AC10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7" spans="1:29" x14ac:dyDescent="0.25">
      <c r="A107" t="s">
        <v>569</v>
      </c>
      <c r="B107" t="s">
        <v>764</v>
      </c>
      <c r="C107" t="s">
        <v>764</v>
      </c>
      <c r="D107" t="s">
        <v>756</v>
      </c>
      <c r="E107" t="s">
        <v>757</v>
      </c>
      <c r="F107" t="s">
        <v>569</v>
      </c>
      <c r="G107" t="s">
        <v>569</v>
      </c>
      <c r="H107" t="s">
        <v>569</v>
      </c>
      <c r="I107" t="s">
        <v>569</v>
      </c>
      <c r="J107" t="s">
        <v>569</v>
      </c>
      <c r="K107" t="s">
        <v>569</v>
      </c>
      <c r="L107" t="s">
        <v>569</v>
      </c>
      <c r="M107" t="s">
        <v>569</v>
      </c>
      <c r="N107" t="s">
        <v>569</v>
      </c>
      <c r="O107" t="s">
        <v>569</v>
      </c>
      <c r="P107" t="s">
        <v>569</v>
      </c>
      <c r="Q107" t="s">
        <v>569</v>
      </c>
      <c r="R107">
        <v>11.57</v>
      </c>
      <c r="S107" t="s">
        <v>1213</v>
      </c>
      <c r="T107">
        <v>104.92</v>
      </c>
      <c r="U107" t="s">
        <v>1201</v>
      </c>
      <c r="V107" t="s">
        <v>569</v>
      </c>
      <c r="W107" t="s">
        <v>569</v>
      </c>
      <c r="X107" t="s">
        <v>569</v>
      </c>
      <c r="Y107" t="s">
        <v>569</v>
      </c>
      <c r="Z107" t="s">
        <v>569</v>
      </c>
      <c r="AA107" t="s">
        <v>569</v>
      </c>
      <c r="AB107">
        <v>5000</v>
      </c>
      <c r="AC10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8" spans="1:29" x14ac:dyDescent="0.25">
      <c r="A108" t="s">
        <v>569</v>
      </c>
      <c r="B108" t="s">
        <v>776</v>
      </c>
      <c r="C108" t="s">
        <v>780</v>
      </c>
      <c r="D108" t="s">
        <v>777</v>
      </c>
      <c r="E108" t="s">
        <v>778</v>
      </c>
      <c r="F108" t="s">
        <v>569</v>
      </c>
      <c r="G108" t="s">
        <v>569</v>
      </c>
      <c r="H108" t="s">
        <v>569</v>
      </c>
      <c r="I108" t="s">
        <v>569</v>
      </c>
      <c r="J108" t="s">
        <v>569</v>
      </c>
      <c r="K108" t="s">
        <v>569</v>
      </c>
      <c r="L108" t="s">
        <v>569</v>
      </c>
      <c r="M108" t="s">
        <v>569</v>
      </c>
      <c r="N108" t="s">
        <v>569</v>
      </c>
      <c r="O108" t="s">
        <v>569</v>
      </c>
      <c r="P108" t="s">
        <v>569</v>
      </c>
      <c r="Q108" t="s">
        <v>569</v>
      </c>
      <c r="R108">
        <v>14.04</v>
      </c>
      <c r="S108" t="s">
        <v>1213</v>
      </c>
      <c r="T108">
        <v>99.5</v>
      </c>
      <c r="U108" t="s">
        <v>1201</v>
      </c>
      <c r="V108" t="s">
        <v>569</v>
      </c>
      <c r="W108" t="s">
        <v>569</v>
      </c>
      <c r="X108" t="s">
        <v>569</v>
      </c>
      <c r="Y108" t="s">
        <v>569</v>
      </c>
      <c r="Z108" t="s">
        <v>569</v>
      </c>
      <c r="AA108" t="s">
        <v>569</v>
      </c>
      <c r="AB108">
        <v>5000</v>
      </c>
      <c r="AC10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09" spans="1:29" x14ac:dyDescent="0.25">
      <c r="A109" t="s">
        <v>569</v>
      </c>
      <c r="B109" t="s">
        <v>781</v>
      </c>
      <c r="C109" t="s">
        <v>783</v>
      </c>
      <c r="D109" t="s">
        <v>777</v>
      </c>
      <c r="E109" t="s">
        <v>778</v>
      </c>
      <c r="F109" t="s">
        <v>569</v>
      </c>
      <c r="G109" t="s">
        <v>569</v>
      </c>
      <c r="H109" t="s">
        <v>569</v>
      </c>
      <c r="I109" t="s">
        <v>569</v>
      </c>
      <c r="J109" t="s">
        <v>569</v>
      </c>
      <c r="K109" t="s">
        <v>569</v>
      </c>
      <c r="L109" t="s">
        <v>569</v>
      </c>
      <c r="M109" t="s">
        <v>569</v>
      </c>
      <c r="N109" t="s">
        <v>569</v>
      </c>
      <c r="O109" t="s">
        <v>569</v>
      </c>
      <c r="P109" t="s">
        <v>569</v>
      </c>
      <c r="Q109" t="s">
        <v>569</v>
      </c>
      <c r="R109">
        <v>13.57</v>
      </c>
      <c r="S109" t="s">
        <v>1213</v>
      </c>
      <c r="T109">
        <v>99.96</v>
      </c>
      <c r="U109" t="s">
        <v>1201</v>
      </c>
      <c r="V109" t="s">
        <v>569</v>
      </c>
      <c r="W109" t="s">
        <v>569</v>
      </c>
      <c r="X109" t="s">
        <v>569</v>
      </c>
      <c r="Y109" t="s">
        <v>569</v>
      </c>
      <c r="Z109" t="s">
        <v>569</v>
      </c>
      <c r="AA109" t="s">
        <v>569</v>
      </c>
      <c r="AB109">
        <v>5000</v>
      </c>
      <c r="AC10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0" spans="1:29" x14ac:dyDescent="0.25">
      <c r="A110" t="s">
        <v>569</v>
      </c>
      <c r="B110" t="s">
        <v>787</v>
      </c>
      <c r="C110" t="s">
        <v>784</v>
      </c>
      <c r="D110" t="s">
        <v>777</v>
      </c>
      <c r="E110" t="s">
        <v>778</v>
      </c>
      <c r="F110" t="s">
        <v>569</v>
      </c>
      <c r="G110" t="s">
        <v>569</v>
      </c>
      <c r="H110" t="s">
        <v>569</v>
      </c>
      <c r="I110" t="s">
        <v>569</v>
      </c>
      <c r="J110" t="s">
        <v>569</v>
      </c>
      <c r="K110" t="s">
        <v>569</v>
      </c>
      <c r="L110" t="s">
        <v>569</v>
      </c>
      <c r="M110" t="s">
        <v>569</v>
      </c>
      <c r="N110" t="s">
        <v>569</v>
      </c>
      <c r="O110" t="s">
        <v>569</v>
      </c>
      <c r="P110" t="s">
        <v>569</v>
      </c>
      <c r="Q110" t="s">
        <v>569</v>
      </c>
      <c r="R110">
        <v>13.47</v>
      </c>
      <c r="S110" t="s">
        <v>1213</v>
      </c>
      <c r="T110">
        <v>99.94</v>
      </c>
      <c r="U110" t="s">
        <v>1201</v>
      </c>
      <c r="V110" t="s">
        <v>569</v>
      </c>
      <c r="W110" t="s">
        <v>569</v>
      </c>
      <c r="X110" t="s">
        <v>569</v>
      </c>
      <c r="Y110" t="s">
        <v>569</v>
      </c>
      <c r="Z110" t="s">
        <v>569</v>
      </c>
      <c r="AA110" t="s">
        <v>569</v>
      </c>
      <c r="AB110">
        <v>5000</v>
      </c>
      <c r="AC11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1" spans="1:29" x14ac:dyDescent="0.25">
      <c r="A111" t="s">
        <v>569</v>
      </c>
      <c r="B111" t="s">
        <v>794</v>
      </c>
      <c r="C111" t="s">
        <v>794</v>
      </c>
      <c r="D111" t="s">
        <v>795</v>
      </c>
      <c r="E111" t="s">
        <v>796</v>
      </c>
      <c r="F111" t="s">
        <v>569</v>
      </c>
      <c r="G111" t="s">
        <v>569</v>
      </c>
      <c r="H111" t="s">
        <v>569</v>
      </c>
      <c r="I111" t="s">
        <v>569</v>
      </c>
      <c r="J111" t="s">
        <v>569</v>
      </c>
      <c r="K111" t="s">
        <v>569</v>
      </c>
      <c r="L111" t="s">
        <v>569</v>
      </c>
      <c r="M111" t="s">
        <v>569</v>
      </c>
      <c r="N111" t="s">
        <v>569</v>
      </c>
      <c r="O111" t="s">
        <v>569</v>
      </c>
      <c r="P111" t="s">
        <v>569</v>
      </c>
      <c r="Q111" t="s">
        <v>569</v>
      </c>
      <c r="R111">
        <v>10.8</v>
      </c>
      <c r="S111" t="s">
        <v>1213</v>
      </c>
      <c r="T111">
        <v>106.64</v>
      </c>
      <c r="U111" t="s">
        <v>1201</v>
      </c>
      <c r="V111" t="s">
        <v>569</v>
      </c>
      <c r="W111" t="s">
        <v>569</v>
      </c>
      <c r="X111" t="s">
        <v>569</v>
      </c>
      <c r="Y111" t="s">
        <v>569</v>
      </c>
      <c r="Z111" t="s">
        <v>569</v>
      </c>
      <c r="AA111" t="s">
        <v>569</v>
      </c>
      <c r="AB111">
        <v>5000</v>
      </c>
      <c r="AC1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2" spans="1:29" x14ac:dyDescent="0.25">
      <c r="A112" t="s">
        <v>569</v>
      </c>
      <c r="B112" t="s">
        <v>1289</v>
      </c>
      <c r="C112" t="s">
        <v>1051</v>
      </c>
      <c r="D112" t="s">
        <v>795</v>
      </c>
      <c r="E112" t="s">
        <v>796</v>
      </c>
      <c r="F112" t="s">
        <v>569</v>
      </c>
      <c r="G112" t="s">
        <v>569</v>
      </c>
      <c r="H112" t="s">
        <v>569</v>
      </c>
      <c r="I112" t="s">
        <v>569</v>
      </c>
      <c r="J112" t="s">
        <v>569</v>
      </c>
      <c r="K112" t="s">
        <v>569</v>
      </c>
      <c r="L112" t="s">
        <v>569</v>
      </c>
      <c r="M112" t="s">
        <v>569</v>
      </c>
      <c r="N112" t="s">
        <v>569</v>
      </c>
      <c r="O112" t="s">
        <v>569</v>
      </c>
      <c r="P112" t="s">
        <v>569</v>
      </c>
      <c r="Q112" t="s">
        <v>569</v>
      </c>
      <c r="R112">
        <v>49.97</v>
      </c>
      <c r="S112" t="s">
        <v>1213</v>
      </c>
      <c r="T112">
        <v>8.0500000000000007</v>
      </c>
      <c r="U112" t="s">
        <v>1201</v>
      </c>
      <c r="V112" t="s">
        <v>569</v>
      </c>
      <c r="W112" t="s">
        <v>569</v>
      </c>
      <c r="X112" t="s">
        <v>569</v>
      </c>
      <c r="Y112" t="s">
        <v>569</v>
      </c>
      <c r="Z112" t="s">
        <v>569</v>
      </c>
      <c r="AA112" t="s">
        <v>569</v>
      </c>
      <c r="AB112">
        <v>5000</v>
      </c>
      <c r="AC1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3" spans="1:29" x14ac:dyDescent="0.25">
      <c r="A113" t="s">
        <v>569</v>
      </c>
      <c r="B113" t="s">
        <v>8</v>
      </c>
      <c r="C113" t="s">
        <v>504</v>
      </c>
      <c r="D113" t="s">
        <v>501</v>
      </c>
      <c r="E113" t="s">
        <v>502</v>
      </c>
      <c r="F113" t="s">
        <v>569</v>
      </c>
      <c r="G113" t="s">
        <v>569</v>
      </c>
      <c r="H113" t="s">
        <v>569</v>
      </c>
      <c r="I113" t="s">
        <v>569</v>
      </c>
      <c r="J113" t="s">
        <v>569</v>
      </c>
      <c r="K113" t="s">
        <v>569</v>
      </c>
      <c r="L113" t="s">
        <v>569</v>
      </c>
      <c r="M113" t="s">
        <v>569</v>
      </c>
      <c r="N113" t="s">
        <v>569</v>
      </c>
      <c r="O113" t="s">
        <v>569</v>
      </c>
      <c r="P113" t="s">
        <v>569</v>
      </c>
      <c r="Q113" t="s">
        <v>569</v>
      </c>
      <c r="R113">
        <v>48.65</v>
      </c>
      <c r="S113" t="s">
        <v>1213</v>
      </c>
      <c r="T113">
        <v>-123.4</v>
      </c>
      <c r="U113" t="s">
        <v>1206</v>
      </c>
      <c r="V113" t="s">
        <v>569</v>
      </c>
      <c r="W113" t="s">
        <v>569</v>
      </c>
      <c r="X113" t="s">
        <v>569</v>
      </c>
      <c r="Y113" t="s">
        <v>569</v>
      </c>
      <c r="Z113" t="s">
        <v>569</v>
      </c>
      <c r="AA113" t="s">
        <v>569</v>
      </c>
      <c r="AB113">
        <v>5000</v>
      </c>
      <c r="AC1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4" spans="1:29" x14ac:dyDescent="0.25">
      <c r="A114" t="s">
        <v>569</v>
      </c>
      <c r="B114" t="s">
        <v>1290</v>
      </c>
      <c r="C114" t="s">
        <v>504</v>
      </c>
      <c r="D114" t="s">
        <v>501</v>
      </c>
      <c r="E114" t="s">
        <v>502</v>
      </c>
      <c r="F114" t="s">
        <v>569</v>
      </c>
      <c r="G114" t="s">
        <v>569</v>
      </c>
      <c r="H114" t="s">
        <v>569</v>
      </c>
      <c r="I114" t="s">
        <v>569</v>
      </c>
      <c r="J114" t="s">
        <v>569</v>
      </c>
      <c r="K114" t="s">
        <v>569</v>
      </c>
      <c r="L114" t="s">
        <v>569</v>
      </c>
      <c r="M114" t="s">
        <v>569</v>
      </c>
      <c r="N114" t="s">
        <v>569</v>
      </c>
      <c r="O114" t="s">
        <v>569</v>
      </c>
      <c r="P114" t="s">
        <v>569</v>
      </c>
      <c r="Q114" t="s">
        <v>569</v>
      </c>
      <c r="R114">
        <v>49.4</v>
      </c>
      <c r="S114" t="s">
        <v>1213</v>
      </c>
      <c r="T114">
        <v>-124.61</v>
      </c>
      <c r="U114" t="s">
        <v>1206</v>
      </c>
      <c r="V114" t="s">
        <v>569</v>
      </c>
      <c r="W114" t="s">
        <v>569</v>
      </c>
      <c r="X114" t="s">
        <v>569</v>
      </c>
      <c r="Y114" t="s">
        <v>569</v>
      </c>
      <c r="Z114" t="s">
        <v>569</v>
      </c>
      <c r="AA114" t="s">
        <v>569</v>
      </c>
      <c r="AB114">
        <v>5000</v>
      </c>
      <c r="AC11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5" spans="1:29" x14ac:dyDescent="0.25">
      <c r="A115" t="s">
        <v>569</v>
      </c>
      <c r="B115" t="s">
        <v>559</v>
      </c>
      <c r="C115" t="s">
        <v>504</v>
      </c>
      <c r="D115" t="s">
        <v>501</v>
      </c>
      <c r="E115" t="s">
        <v>502</v>
      </c>
      <c r="F115" t="s">
        <v>569</v>
      </c>
      <c r="G115" t="s">
        <v>569</v>
      </c>
      <c r="H115" t="s">
        <v>569</v>
      </c>
      <c r="I115" t="s">
        <v>569</v>
      </c>
      <c r="J115" t="s">
        <v>569</v>
      </c>
      <c r="K115" t="s">
        <v>569</v>
      </c>
      <c r="L115" t="s">
        <v>569</v>
      </c>
      <c r="M115" t="s">
        <v>569</v>
      </c>
      <c r="N115" t="s">
        <v>569</v>
      </c>
      <c r="O115" t="s">
        <v>569</v>
      </c>
      <c r="P115" t="s">
        <v>569</v>
      </c>
      <c r="Q115" t="s">
        <v>569</v>
      </c>
      <c r="R115">
        <v>49.98</v>
      </c>
      <c r="S115" t="s">
        <v>1213</v>
      </c>
      <c r="T115">
        <v>-124.76</v>
      </c>
      <c r="U115" t="s">
        <v>1206</v>
      </c>
      <c r="V115" t="s">
        <v>569</v>
      </c>
      <c r="W115" t="s">
        <v>569</v>
      </c>
      <c r="X115" t="s">
        <v>569</v>
      </c>
      <c r="Y115" t="s">
        <v>569</v>
      </c>
      <c r="Z115" t="s">
        <v>569</v>
      </c>
      <c r="AA115" t="s">
        <v>569</v>
      </c>
      <c r="AB115">
        <v>5000</v>
      </c>
      <c r="AC1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6" spans="1:29" x14ac:dyDescent="0.25">
      <c r="A116" t="s">
        <v>569</v>
      </c>
      <c r="B116" t="s">
        <v>873</v>
      </c>
      <c r="C116" t="s">
        <v>504</v>
      </c>
      <c r="D116" t="s">
        <v>501</v>
      </c>
      <c r="E116" t="s">
        <v>502</v>
      </c>
      <c r="F116" t="s">
        <v>569</v>
      </c>
      <c r="G116" t="s">
        <v>569</v>
      </c>
      <c r="H116" t="s">
        <v>569</v>
      </c>
      <c r="I116" t="s">
        <v>569</v>
      </c>
      <c r="J116" t="s">
        <v>569</v>
      </c>
      <c r="K116" t="s">
        <v>569</v>
      </c>
      <c r="L116" t="s">
        <v>569</v>
      </c>
      <c r="M116" t="s">
        <v>569</v>
      </c>
      <c r="N116" t="s">
        <v>569</v>
      </c>
      <c r="O116" t="s">
        <v>569</v>
      </c>
      <c r="P116" t="s">
        <v>569</v>
      </c>
      <c r="Q116" t="s">
        <v>569</v>
      </c>
      <c r="R116">
        <v>49.16</v>
      </c>
      <c r="S116" t="s">
        <v>1213</v>
      </c>
      <c r="T116">
        <v>-123.81</v>
      </c>
      <c r="U116" t="s">
        <v>1206</v>
      </c>
      <c r="V116" t="s">
        <v>569</v>
      </c>
      <c r="W116" t="s">
        <v>569</v>
      </c>
      <c r="X116" t="s">
        <v>569</v>
      </c>
      <c r="Y116" t="s">
        <v>569</v>
      </c>
      <c r="Z116" t="s">
        <v>569</v>
      </c>
      <c r="AA116" t="s">
        <v>569</v>
      </c>
      <c r="AB116">
        <v>5000</v>
      </c>
      <c r="AC1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7" spans="1:29" x14ac:dyDescent="0.25">
      <c r="A117" t="s">
        <v>569</v>
      </c>
      <c r="B117" t="s">
        <v>896</v>
      </c>
      <c r="C117" t="s">
        <v>504</v>
      </c>
      <c r="D117" t="s">
        <v>501</v>
      </c>
      <c r="E117" t="s">
        <v>502</v>
      </c>
      <c r="F117" t="s">
        <v>569</v>
      </c>
      <c r="G117" t="s">
        <v>569</v>
      </c>
      <c r="H117" t="s">
        <v>569</v>
      </c>
      <c r="I117" t="s">
        <v>569</v>
      </c>
      <c r="J117" t="s">
        <v>569</v>
      </c>
      <c r="K117" t="s">
        <v>569</v>
      </c>
      <c r="L117" t="s">
        <v>569</v>
      </c>
      <c r="M117" t="s">
        <v>569</v>
      </c>
      <c r="N117" t="s">
        <v>569</v>
      </c>
      <c r="O117" t="s">
        <v>569</v>
      </c>
      <c r="P117" t="s">
        <v>569</v>
      </c>
      <c r="Q117" t="s">
        <v>569</v>
      </c>
      <c r="R117">
        <v>48.84</v>
      </c>
      <c r="S117" t="s">
        <v>1213</v>
      </c>
      <c r="T117">
        <v>-123.29</v>
      </c>
      <c r="U117" t="s">
        <v>1206</v>
      </c>
      <c r="V117" t="s">
        <v>569</v>
      </c>
      <c r="W117" t="s">
        <v>569</v>
      </c>
      <c r="X117" t="s">
        <v>569</v>
      </c>
      <c r="Y117" t="s">
        <v>569</v>
      </c>
      <c r="Z117" t="s">
        <v>569</v>
      </c>
      <c r="AA117" t="s">
        <v>569</v>
      </c>
      <c r="AB117">
        <v>5000</v>
      </c>
      <c r="AC1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8" spans="1:29" x14ac:dyDescent="0.25">
      <c r="A118" t="s">
        <v>569</v>
      </c>
      <c r="B118" t="s">
        <v>912</v>
      </c>
      <c r="C118" t="s">
        <v>504</v>
      </c>
      <c r="D118" t="s">
        <v>501</v>
      </c>
      <c r="E118" t="s">
        <v>502</v>
      </c>
      <c r="F118" t="s">
        <v>569</v>
      </c>
      <c r="G118" t="s">
        <v>569</v>
      </c>
      <c r="H118" t="s">
        <v>569</v>
      </c>
      <c r="I118" t="s">
        <v>569</v>
      </c>
      <c r="J118" t="s">
        <v>569</v>
      </c>
      <c r="K118" t="s">
        <v>569</v>
      </c>
      <c r="L118" t="s">
        <v>569</v>
      </c>
      <c r="M118" t="s">
        <v>569</v>
      </c>
      <c r="N118" t="s">
        <v>569</v>
      </c>
      <c r="O118" t="s">
        <v>569</v>
      </c>
      <c r="P118" t="s">
        <v>569</v>
      </c>
      <c r="Q118" t="s">
        <v>569</v>
      </c>
      <c r="R118">
        <v>49.12</v>
      </c>
      <c r="S118" t="s">
        <v>1213</v>
      </c>
      <c r="T118">
        <v>-123.08</v>
      </c>
      <c r="U118" t="s">
        <v>1206</v>
      </c>
      <c r="V118" t="s">
        <v>569</v>
      </c>
      <c r="W118" t="s">
        <v>569</v>
      </c>
      <c r="X118" t="s">
        <v>569</v>
      </c>
      <c r="Y118" t="s">
        <v>569</v>
      </c>
      <c r="Z118" t="s">
        <v>569</v>
      </c>
      <c r="AA118" t="s">
        <v>569</v>
      </c>
      <c r="AB118">
        <v>5000</v>
      </c>
      <c r="AC1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19" spans="1:29" x14ac:dyDescent="0.25">
      <c r="A119" t="s">
        <v>569</v>
      </c>
      <c r="B119" t="s">
        <v>1291</v>
      </c>
      <c r="C119" t="s">
        <v>504</v>
      </c>
      <c r="D119" t="s">
        <v>501</v>
      </c>
      <c r="E119" t="s">
        <v>502</v>
      </c>
      <c r="F119" t="s">
        <v>569</v>
      </c>
      <c r="G119" t="s">
        <v>569</v>
      </c>
      <c r="H119" t="s">
        <v>569</v>
      </c>
      <c r="I119" t="s">
        <v>569</v>
      </c>
      <c r="J119" t="s">
        <v>569</v>
      </c>
      <c r="K119" t="s">
        <v>569</v>
      </c>
      <c r="L119" t="s">
        <v>569</v>
      </c>
      <c r="M119" t="s">
        <v>569</v>
      </c>
      <c r="N119" t="s">
        <v>569</v>
      </c>
      <c r="O119" t="s">
        <v>569</v>
      </c>
      <c r="P119" t="s">
        <v>569</v>
      </c>
      <c r="Q119" t="s">
        <v>569</v>
      </c>
      <c r="R119">
        <v>49.06</v>
      </c>
      <c r="S119" t="s">
        <v>1213</v>
      </c>
      <c r="T119">
        <v>-121.98</v>
      </c>
      <c r="U119" t="s">
        <v>1206</v>
      </c>
      <c r="V119" t="s">
        <v>569</v>
      </c>
      <c r="W119" t="s">
        <v>569</v>
      </c>
      <c r="X119" t="s">
        <v>569</v>
      </c>
      <c r="Y119" t="s">
        <v>569</v>
      </c>
      <c r="Z119" t="s">
        <v>569</v>
      </c>
      <c r="AA119" t="s">
        <v>569</v>
      </c>
      <c r="AB119">
        <v>5000</v>
      </c>
      <c r="AC1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0" spans="1:29" x14ac:dyDescent="0.25">
      <c r="A120" t="s">
        <v>569</v>
      </c>
      <c r="B120" t="s">
        <v>916</v>
      </c>
      <c r="C120" t="s">
        <v>504</v>
      </c>
      <c r="D120" t="s">
        <v>501</v>
      </c>
      <c r="E120" t="s">
        <v>502</v>
      </c>
      <c r="F120" t="s">
        <v>569</v>
      </c>
      <c r="G120" t="s">
        <v>569</v>
      </c>
      <c r="H120" t="s">
        <v>569</v>
      </c>
      <c r="I120" t="s">
        <v>569</v>
      </c>
      <c r="J120" t="s">
        <v>569</v>
      </c>
      <c r="K120" t="s">
        <v>569</v>
      </c>
      <c r="L120" t="s">
        <v>569</v>
      </c>
      <c r="M120" t="s">
        <v>569</v>
      </c>
      <c r="N120" t="s">
        <v>569</v>
      </c>
      <c r="O120" t="s">
        <v>569</v>
      </c>
      <c r="P120" t="s">
        <v>569</v>
      </c>
      <c r="Q120" t="s">
        <v>569</v>
      </c>
      <c r="R120">
        <v>49.08</v>
      </c>
      <c r="S120" t="s">
        <v>1213</v>
      </c>
      <c r="T120">
        <v>-122.06</v>
      </c>
      <c r="U120" t="s">
        <v>1206</v>
      </c>
      <c r="V120" t="s">
        <v>569</v>
      </c>
      <c r="W120" t="s">
        <v>569</v>
      </c>
      <c r="X120" t="s">
        <v>569</v>
      </c>
      <c r="Y120" t="s">
        <v>569</v>
      </c>
      <c r="Z120" t="s">
        <v>569</v>
      </c>
      <c r="AA120" t="s">
        <v>569</v>
      </c>
      <c r="AB120">
        <v>5000</v>
      </c>
      <c r="AC12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1" spans="1:29" x14ac:dyDescent="0.25">
      <c r="A121" t="s">
        <v>569</v>
      </c>
      <c r="B121" t="s">
        <v>918</v>
      </c>
      <c r="C121" t="s">
        <v>504</v>
      </c>
      <c r="D121" t="s">
        <v>501</v>
      </c>
      <c r="E121" t="s">
        <v>502</v>
      </c>
      <c r="F121" t="s">
        <v>569</v>
      </c>
      <c r="G121" t="s">
        <v>569</v>
      </c>
      <c r="H121" t="s">
        <v>569</v>
      </c>
      <c r="I121" t="s">
        <v>569</v>
      </c>
      <c r="J121" t="s">
        <v>569</v>
      </c>
      <c r="K121" t="s">
        <v>569</v>
      </c>
      <c r="L121" t="s">
        <v>569</v>
      </c>
      <c r="M121" t="s">
        <v>569</v>
      </c>
      <c r="N121" t="s">
        <v>569</v>
      </c>
      <c r="O121" t="s">
        <v>569</v>
      </c>
      <c r="P121" t="s">
        <v>569</v>
      </c>
      <c r="Q121" t="s">
        <v>569</v>
      </c>
      <c r="R121">
        <v>49.01</v>
      </c>
      <c r="S121" t="s">
        <v>1213</v>
      </c>
      <c r="T121">
        <v>-122.03</v>
      </c>
      <c r="U121" t="s">
        <v>1206</v>
      </c>
      <c r="V121" t="s">
        <v>569</v>
      </c>
      <c r="W121" t="s">
        <v>569</v>
      </c>
      <c r="X121" t="s">
        <v>569</v>
      </c>
      <c r="Y121" t="s">
        <v>569</v>
      </c>
      <c r="Z121" t="s">
        <v>569</v>
      </c>
      <c r="AA121" t="s">
        <v>569</v>
      </c>
      <c r="AB121">
        <v>5000</v>
      </c>
      <c r="AC1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2" spans="1:29" x14ac:dyDescent="0.25">
      <c r="A122" t="s">
        <v>569</v>
      </c>
      <c r="B122" t="s">
        <v>937</v>
      </c>
      <c r="C122" t="s">
        <v>939</v>
      </c>
      <c r="D122" t="s">
        <v>652</v>
      </c>
      <c r="E122" t="s">
        <v>653</v>
      </c>
      <c r="F122" t="s">
        <v>569</v>
      </c>
      <c r="G122" t="s">
        <v>569</v>
      </c>
      <c r="H122" t="s">
        <v>569</v>
      </c>
      <c r="I122" t="s">
        <v>569</v>
      </c>
      <c r="J122" t="s">
        <v>569</v>
      </c>
      <c r="K122" t="s">
        <v>569</v>
      </c>
      <c r="L122" t="s">
        <v>569</v>
      </c>
      <c r="M122" t="s">
        <v>569</v>
      </c>
      <c r="N122" t="s">
        <v>569</v>
      </c>
      <c r="O122" t="s">
        <v>569</v>
      </c>
      <c r="P122" t="s">
        <v>569</v>
      </c>
      <c r="Q122" t="s">
        <v>569</v>
      </c>
      <c r="R122">
        <v>-23.65</v>
      </c>
      <c r="S122" t="s">
        <v>1111</v>
      </c>
      <c r="T122">
        <v>-46.51</v>
      </c>
      <c r="U122" t="s">
        <v>1206</v>
      </c>
      <c r="V122" t="s">
        <v>569</v>
      </c>
      <c r="W122" t="s">
        <v>569</v>
      </c>
      <c r="X122" t="s">
        <v>569</v>
      </c>
      <c r="Y122" t="s">
        <v>569</v>
      </c>
      <c r="Z122" t="s">
        <v>569</v>
      </c>
      <c r="AA122" t="s">
        <v>569</v>
      </c>
      <c r="AB122">
        <v>5000</v>
      </c>
      <c r="AC12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3" spans="1:29" x14ac:dyDescent="0.25">
      <c r="A123" t="s">
        <v>569</v>
      </c>
      <c r="B123" t="s">
        <v>1292</v>
      </c>
      <c r="C123" t="s">
        <v>677</v>
      </c>
      <c r="D123" t="s">
        <v>522</v>
      </c>
      <c r="E123" t="s">
        <v>523</v>
      </c>
      <c r="F123" t="s">
        <v>569</v>
      </c>
      <c r="G123" t="s">
        <v>569</v>
      </c>
      <c r="H123" t="s">
        <v>569</v>
      </c>
      <c r="I123" t="s">
        <v>569</v>
      </c>
      <c r="J123" t="s">
        <v>569</v>
      </c>
      <c r="K123" t="s">
        <v>569</v>
      </c>
      <c r="L123" t="s">
        <v>569</v>
      </c>
      <c r="M123" t="s">
        <v>569</v>
      </c>
      <c r="N123" t="s">
        <v>569</v>
      </c>
      <c r="O123" t="s">
        <v>569</v>
      </c>
      <c r="P123" t="s">
        <v>569</v>
      </c>
      <c r="Q123" t="s">
        <v>569</v>
      </c>
      <c r="R123">
        <v>-31.55</v>
      </c>
      <c r="S123" t="s">
        <v>1111</v>
      </c>
      <c r="T123">
        <v>152.85</v>
      </c>
      <c r="U123" t="s">
        <v>1201</v>
      </c>
      <c r="V123" t="s">
        <v>569</v>
      </c>
      <c r="W123" t="s">
        <v>569</v>
      </c>
      <c r="X123" t="s">
        <v>569</v>
      </c>
      <c r="Y123" t="s">
        <v>569</v>
      </c>
      <c r="Z123" t="s">
        <v>569</v>
      </c>
      <c r="AA123" t="s">
        <v>569</v>
      </c>
      <c r="AB123">
        <v>5000</v>
      </c>
      <c r="AC12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4" spans="1:29" x14ac:dyDescent="0.25">
      <c r="A124" t="s">
        <v>569</v>
      </c>
      <c r="B124" t="s">
        <v>943</v>
      </c>
      <c r="C124" t="s">
        <v>707</v>
      </c>
      <c r="D124" t="s">
        <v>522</v>
      </c>
      <c r="E124" t="s">
        <v>523</v>
      </c>
      <c r="F124" t="s">
        <v>569</v>
      </c>
      <c r="G124" t="s">
        <v>569</v>
      </c>
      <c r="H124" t="s">
        <v>569</v>
      </c>
      <c r="I124" t="s">
        <v>569</v>
      </c>
      <c r="J124" t="s">
        <v>569</v>
      </c>
      <c r="K124" t="s">
        <v>569</v>
      </c>
      <c r="L124" t="s">
        <v>569</v>
      </c>
      <c r="M124" t="s">
        <v>569</v>
      </c>
      <c r="N124" t="s">
        <v>569</v>
      </c>
      <c r="O124" t="s">
        <v>569</v>
      </c>
      <c r="P124" t="s">
        <v>569</v>
      </c>
      <c r="Q124" t="s">
        <v>569</v>
      </c>
      <c r="R124">
        <v>-16.920000000000002</v>
      </c>
      <c r="S124" t="s">
        <v>1111</v>
      </c>
      <c r="T124">
        <v>145.77000000000001</v>
      </c>
      <c r="U124" t="s">
        <v>1201</v>
      </c>
      <c r="V124" t="s">
        <v>569</v>
      </c>
      <c r="W124" t="s">
        <v>569</v>
      </c>
      <c r="X124" t="s">
        <v>569</v>
      </c>
      <c r="Y124" t="s">
        <v>569</v>
      </c>
      <c r="Z124" t="s">
        <v>569</v>
      </c>
      <c r="AA124" t="s">
        <v>569</v>
      </c>
      <c r="AB124">
        <v>5000</v>
      </c>
      <c r="AC1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5" spans="1:29" x14ac:dyDescent="0.25">
      <c r="A125" t="s">
        <v>569</v>
      </c>
      <c r="B125" t="s">
        <v>1000</v>
      </c>
      <c r="C125" t="s">
        <v>707</v>
      </c>
      <c r="D125" t="s">
        <v>522</v>
      </c>
      <c r="E125" t="s">
        <v>523</v>
      </c>
      <c r="F125" t="s">
        <v>569</v>
      </c>
      <c r="G125" t="s">
        <v>569</v>
      </c>
      <c r="H125" t="s">
        <v>569</v>
      </c>
      <c r="I125" t="s">
        <v>569</v>
      </c>
      <c r="J125" t="s">
        <v>569</v>
      </c>
      <c r="K125" t="s">
        <v>569</v>
      </c>
      <c r="L125" t="s">
        <v>569</v>
      </c>
      <c r="M125" t="s">
        <v>569</v>
      </c>
      <c r="N125" t="s">
        <v>569</v>
      </c>
      <c r="O125" t="s">
        <v>569</v>
      </c>
      <c r="P125" t="s">
        <v>569</v>
      </c>
      <c r="Q125" t="s">
        <v>569</v>
      </c>
      <c r="R125">
        <v>-16.82</v>
      </c>
      <c r="S125" t="s">
        <v>1111</v>
      </c>
      <c r="T125">
        <v>145.6</v>
      </c>
      <c r="U125" t="s">
        <v>1201</v>
      </c>
      <c r="V125" t="s">
        <v>569</v>
      </c>
      <c r="W125" t="s">
        <v>569</v>
      </c>
      <c r="X125" t="s">
        <v>569</v>
      </c>
      <c r="Y125" t="s">
        <v>569</v>
      </c>
      <c r="Z125" t="s">
        <v>569</v>
      </c>
      <c r="AA125" t="s">
        <v>569</v>
      </c>
      <c r="AB125">
        <v>5000</v>
      </c>
      <c r="AC12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6" spans="1:29" x14ac:dyDescent="0.25">
      <c r="A126" t="s">
        <v>569</v>
      </c>
      <c r="B126" t="s">
        <v>1293</v>
      </c>
      <c r="C126" t="s">
        <v>707</v>
      </c>
      <c r="D126" t="s">
        <v>522</v>
      </c>
      <c r="E126" t="s">
        <v>523</v>
      </c>
      <c r="F126" t="s">
        <v>569</v>
      </c>
      <c r="G126" t="s">
        <v>569</v>
      </c>
      <c r="H126" t="s">
        <v>569</v>
      </c>
      <c r="I126" t="s">
        <v>569</v>
      </c>
      <c r="J126" t="s">
        <v>569</v>
      </c>
      <c r="K126" t="s">
        <v>569</v>
      </c>
      <c r="L126" t="s">
        <v>569</v>
      </c>
      <c r="M126" t="s">
        <v>569</v>
      </c>
      <c r="N126" t="s">
        <v>569</v>
      </c>
      <c r="O126" t="s">
        <v>569</v>
      </c>
      <c r="P126" t="s">
        <v>569</v>
      </c>
      <c r="Q126" t="s">
        <v>569</v>
      </c>
      <c r="R126">
        <v>-16.649999999999999</v>
      </c>
      <c r="S126" t="s">
        <v>1111</v>
      </c>
      <c r="T126">
        <v>145.57</v>
      </c>
      <c r="U126" t="s">
        <v>1201</v>
      </c>
      <c r="V126" t="s">
        <v>569</v>
      </c>
      <c r="W126" t="s">
        <v>569</v>
      </c>
      <c r="X126" t="s">
        <v>569</v>
      </c>
      <c r="Y126" t="s">
        <v>569</v>
      </c>
      <c r="Z126" t="s">
        <v>569</v>
      </c>
      <c r="AA126" t="s">
        <v>569</v>
      </c>
      <c r="AB126">
        <v>5000</v>
      </c>
      <c r="AC1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7" spans="1:29" x14ac:dyDescent="0.25">
      <c r="A127" t="s">
        <v>569</v>
      </c>
      <c r="B127" t="s">
        <v>946</v>
      </c>
      <c r="C127" t="s">
        <v>707</v>
      </c>
      <c r="D127" t="s">
        <v>522</v>
      </c>
      <c r="E127" t="s">
        <v>523</v>
      </c>
      <c r="F127" t="s">
        <v>569</v>
      </c>
      <c r="G127" t="s">
        <v>569</v>
      </c>
      <c r="H127" t="s">
        <v>569</v>
      </c>
      <c r="I127" t="s">
        <v>569</v>
      </c>
      <c r="J127" t="s">
        <v>569</v>
      </c>
      <c r="K127" t="s">
        <v>569</v>
      </c>
      <c r="L127" t="s">
        <v>569</v>
      </c>
      <c r="M127" t="s">
        <v>569</v>
      </c>
      <c r="N127" t="s">
        <v>569</v>
      </c>
      <c r="O127" t="s">
        <v>569</v>
      </c>
      <c r="P127" t="s">
        <v>569</v>
      </c>
      <c r="Q127" t="s">
        <v>569</v>
      </c>
      <c r="R127">
        <v>-16.46</v>
      </c>
      <c r="S127" t="s">
        <v>1111</v>
      </c>
      <c r="T127">
        <v>145.37</v>
      </c>
      <c r="U127" t="s">
        <v>1201</v>
      </c>
      <c r="V127" t="s">
        <v>569</v>
      </c>
      <c r="W127" t="s">
        <v>569</v>
      </c>
      <c r="X127" t="s">
        <v>569</v>
      </c>
      <c r="Y127" t="s">
        <v>569</v>
      </c>
      <c r="Z127" t="s">
        <v>569</v>
      </c>
      <c r="AA127" t="s">
        <v>569</v>
      </c>
      <c r="AB127">
        <v>5000</v>
      </c>
      <c r="AC1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8" spans="1:29" x14ac:dyDescent="0.25">
      <c r="A128" t="s">
        <v>569</v>
      </c>
      <c r="B128" t="s">
        <v>948</v>
      </c>
      <c r="C128" t="s">
        <v>707</v>
      </c>
      <c r="D128" t="s">
        <v>522</v>
      </c>
      <c r="E128" t="s">
        <v>523</v>
      </c>
      <c r="F128" t="s">
        <v>569</v>
      </c>
      <c r="G128" t="s">
        <v>569</v>
      </c>
      <c r="H128" t="s">
        <v>569</v>
      </c>
      <c r="I128" t="s">
        <v>569</v>
      </c>
      <c r="J128" t="s">
        <v>569</v>
      </c>
      <c r="K128" t="s">
        <v>569</v>
      </c>
      <c r="L128" t="s">
        <v>569</v>
      </c>
      <c r="M128" t="s">
        <v>569</v>
      </c>
      <c r="N128" t="s">
        <v>569</v>
      </c>
      <c r="O128" t="s">
        <v>569</v>
      </c>
      <c r="P128" t="s">
        <v>569</v>
      </c>
      <c r="Q128" t="s">
        <v>569</v>
      </c>
      <c r="R128">
        <v>-16.170000000000002</v>
      </c>
      <c r="S128" t="s">
        <v>1111</v>
      </c>
      <c r="T128">
        <v>145.41999999999999</v>
      </c>
      <c r="U128" t="s">
        <v>1201</v>
      </c>
      <c r="V128" t="s">
        <v>569</v>
      </c>
      <c r="W128" t="s">
        <v>569</v>
      </c>
      <c r="X128" t="s">
        <v>569</v>
      </c>
      <c r="Y128" t="s">
        <v>569</v>
      </c>
      <c r="Z128" t="s">
        <v>569</v>
      </c>
      <c r="AA128" t="s">
        <v>569</v>
      </c>
      <c r="AB128">
        <v>5000</v>
      </c>
      <c r="AC1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29" spans="1:29" x14ac:dyDescent="0.25">
      <c r="A129" t="s">
        <v>569</v>
      </c>
      <c r="B129" t="s">
        <v>951</v>
      </c>
      <c r="C129" t="s">
        <v>707</v>
      </c>
      <c r="D129" t="s">
        <v>522</v>
      </c>
      <c r="E129" t="s">
        <v>523</v>
      </c>
      <c r="F129" t="s">
        <v>569</v>
      </c>
      <c r="G129" t="s">
        <v>569</v>
      </c>
      <c r="H129" t="s">
        <v>569</v>
      </c>
      <c r="I129" t="s">
        <v>569</v>
      </c>
      <c r="J129" t="s">
        <v>569</v>
      </c>
      <c r="K129" t="s">
        <v>569</v>
      </c>
      <c r="L129" t="s">
        <v>569</v>
      </c>
      <c r="M129" t="s">
        <v>569</v>
      </c>
      <c r="N129" t="s">
        <v>569</v>
      </c>
      <c r="O129" t="s">
        <v>569</v>
      </c>
      <c r="P129" t="s">
        <v>569</v>
      </c>
      <c r="Q129" t="s">
        <v>569</v>
      </c>
      <c r="R129">
        <v>-16.5</v>
      </c>
      <c r="S129" t="s">
        <v>1111</v>
      </c>
      <c r="T129">
        <v>145.46</v>
      </c>
      <c r="U129" t="s">
        <v>1201</v>
      </c>
      <c r="V129" t="s">
        <v>569</v>
      </c>
      <c r="W129" t="s">
        <v>569</v>
      </c>
      <c r="X129" t="s">
        <v>569</v>
      </c>
      <c r="Y129" t="s">
        <v>569</v>
      </c>
      <c r="Z129" t="s">
        <v>569</v>
      </c>
      <c r="AA129" t="s">
        <v>569</v>
      </c>
      <c r="AB129">
        <v>5000</v>
      </c>
      <c r="AC12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0" spans="1:29" x14ac:dyDescent="0.25">
      <c r="A130" t="s">
        <v>569</v>
      </c>
      <c r="B130" t="s">
        <v>954</v>
      </c>
      <c r="C130" t="s">
        <v>505</v>
      </c>
      <c r="D130" t="s">
        <v>522</v>
      </c>
      <c r="E130" t="s">
        <v>523</v>
      </c>
      <c r="F130" t="s">
        <v>569</v>
      </c>
      <c r="G130" t="s">
        <v>569</v>
      </c>
      <c r="H130" t="s">
        <v>569</v>
      </c>
      <c r="I130" t="s">
        <v>569</v>
      </c>
      <c r="J130" t="s">
        <v>569</v>
      </c>
      <c r="K130" t="s">
        <v>569</v>
      </c>
      <c r="L130" t="s">
        <v>569</v>
      </c>
      <c r="M130" t="s">
        <v>569</v>
      </c>
      <c r="N130" t="s">
        <v>569</v>
      </c>
      <c r="O130" t="s">
        <v>569</v>
      </c>
      <c r="P130" t="s">
        <v>569</v>
      </c>
      <c r="Q130" t="s">
        <v>569</v>
      </c>
      <c r="R130">
        <v>-37.81</v>
      </c>
      <c r="S130" t="s">
        <v>1111</v>
      </c>
      <c r="T130">
        <v>144.96</v>
      </c>
      <c r="U130" t="s">
        <v>1201</v>
      </c>
      <c r="V130" t="s">
        <v>569</v>
      </c>
      <c r="W130" t="s">
        <v>569</v>
      </c>
      <c r="X130" t="s">
        <v>569</v>
      </c>
      <c r="Y130" t="s">
        <v>569</v>
      </c>
      <c r="Z130" t="s">
        <v>569</v>
      </c>
      <c r="AA130" t="s">
        <v>569</v>
      </c>
      <c r="AB130">
        <v>5000</v>
      </c>
      <c r="AC1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1" spans="1:29" x14ac:dyDescent="0.25">
      <c r="A131" t="s">
        <v>569</v>
      </c>
      <c r="B131" t="s">
        <v>1294</v>
      </c>
      <c r="C131" t="s">
        <v>505</v>
      </c>
      <c r="D131" t="s">
        <v>522</v>
      </c>
      <c r="E131" t="s">
        <v>523</v>
      </c>
      <c r="F131" t="s">
        <v>569</v>
      </c>
      <c r="G131" t="s">
        <v>569</v>
      </c>
      <c r="H131" t="s">
        <v>569</v>
      </c>
      <c r="I131" t="s">
        <v>569</v>
      </c>
      <c r="J131" t="s">
        <v>569</v>
      </c>
      <c r="K131" t="s">
        <v>569</v>
      </c>
      <c r="L131" t="s">
        <v>569</v>
      </c>
      <c r="M131" t="s">
        <v>569</v>
      </c>
      <c r="N131" t="s">
        <v>569</v>
      </c>
      <c r="O131" t="s">
        <v>569</v>
      </c>
      <c r="P131" t="s">
        <v>569</v>
      </c>
      <c r="Q131" t="s">
        <v>569</v>
      </c>
      <c r="R131">
        <v>-38.340000000000003</v>
      </c>
      <c r="S131" t="s">
        <v>1111</v>
      </c>
      <c r="T131">
        <v>145.18</v>
      </c>
      <c r="U131" t="s">
        <v>1201</v>
      </c>
      <c r="V131" t="s">
        <v>569</v>
      </c>
      <c r="W131" t="s">
        <v>569</v>
      </c>
      <c r="X131" t="s">
        <v>569</v>
      </c>
      <c r="Y131" t="s">
        <v>569</v>
      </c>
      <c r="Z131" t="s">
        <v>569</v>
      </c>
      <c r="AA131" t="s">
        <v>569</v>
      </c>
      <c r="AB131">
        <v>5000</v>
      </c>
      <c r="AC13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2" spans="1:29" x14ac:dyDescent="0.25">
      <c r="A132" t="s">
        <v>569</v>
      </c>
      <c r="B132" t="s">
        <v>965</v>
      </c>
      <c r="C132" t="s">
        <v>677</v>
      </c>
      <c r="D132" t="s">
        <v>522</v>
      </c>
      <c r="E132" t="s">
        <v>523</v>
      </c>
      <c r="F132" t="s">
        <v>569</v>
      </c>
      <c r="G132" t="s">
        <v>569</v>
      </c>
      <c r="H132" t="s">
        <v>569</v>
      </c>
      <c r="I132" t="s">
        <v>569</v>
      </c>
      <c r="J132" t="s">
        <v>569</v>
      </c>
      <c r="K132" t="s">
        <v>569</v>
      </c>
      <c r="L132" t="s">
        <v>569</v>
      </c>
      <c r="M132" t="s">
        <v>569</v>
      </c>
      <c r="N132" t="s">
        <v>569</v>
      </c>
      <c r="O132" t="s">
        <v>569</v>
      </c>
      <c r="P132" t="s">
        <v>569</v>
      </c>
      <c r="Q132" t="s">
        <v>569</v>
      </c>
      <c r="R132">
        <v>-33.369999999999997</v>
      </c>
      <c r="S132" t="s">
        <v>1111</v>
      </c>
      <c r="T132">
        <v>151.28</v>
      </c>
      <c r="U132" t="s">
        <v>1201</v>
      </c>
      <c r="V132" t="s">
        <v>569</v>
      </c>
      <c r="W132" t="s">
        <v>569</v>
      </c>
      <c r="X132" t="s">
        <v>569</v>
      </c>
      <c r="Y132" t="s">
        <v>569</v>
      </c>
      <c r="Z132" t="s">
        <v>569</v>
      </c>
      <c r="AA132" t="s">
        <v>569</v>
      </c>
      <c r="AB132">
        <v>5000</v>
      </c>
      <c r="AC1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3" spans="1:29" x14ac:dyDescent="0.25">
      <c r="A133" t="s">
        <v>569</v>
      </c>
      <c r="B133" t="s">
        <v>973</v>
      </c>
      <c r="C133" t="s">
        <v>707</v>
      </c>
      <c r="D133" t="s">
        <v>522</v>
      </c>
      <c r="E133" t="s">
        <v>523</v>
      </c>
      <c r="F133" t="s">
        <v>569</v>
      </c>
      <c r="G133" t="s">
        <v>569</v>
      </c>
      <c r="H133" t="s">
        <v>569</v>
      </c>
      <c r="I133" t="s">
        <v>569</v>
      </c>
      <c r="J133" t="s">
        <v>569</v>
      </c>
      <c r="K133" t="s">
        <v>569</v>
      </c>
      <c r="L133" t="s">
        <v>569</v>
      </c>
      <c r="M133" t="s">
        <v>569</v>
      </c>
      <c r="N133" t="s">
        <v>569</v>
      </c>
      <c r="O133" t="s">
        <v>569</v>
      </c>
      <c r="P133" t="s">
        <v>569</v>
      </c>
      <c r="Q133" t="s">
        <v>569</v>
      </c>
      <c r="R133">
        <v>-16.64</v>
      </c>
      <c r="S133" t="s">
        <v>1111</v>
      </c>
      <c r="T133">
        <v>145.56</v>
      </c>
      <c r="U133" t="s">
        <v>1201</v>
      </c>
      <c r="V133" t="s">
        <v>569</v>
      </c>
      <c r="W133" t="s">
        <v>569</v>
      </c>
      <c r="X133" t="s">
        <v>569</v>
      </c>
      <c r="Y133" t="s">
        <v>569</v>
      </c>
      <c r="Z133" t="s">
        <v>569</v>
      </c>
      <c r="AA133" t="s">
        <v>569</v>
      </c>
      <c r="AB133">
        <v>5000</v>
      </c>
      <c r="AC13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4" spans="1:29" x14ac:dyDescent="0.25">
      <c r="A134" t="s">
        <v>569</v>
      </c>
      <c r="B134" t="s">
        <v>976</v>
      </c>
      <c r="C134" t="s">
        <v>505</v>
      </c>
      <c r="D134" t="s">
        <v>522</v>
      </c>
      <c r="E134" t="s">
        <v>523</v>
      </c>
      <c r="F134" t="s">
        <v>569</v>
      </c>
      <c r="G134" t="s">
        <v>569</v>
      </c>
      <c r="H134" t="s">
        <v>569</v>
      </c>
      <c r="I134" t="s">
        <v>569</v>
      </c>
      <c r="J134" t="s">
        <v>569</v>
      </c>
      <c r="K134" t="s">
        <v>569</v>
      </c>
      <c r="L134" t="s">
        <v>569</v>
      </c>
      <c r="M134" t="s">
        <v>569</v>
      </c>
      <c r="N134" t="s">
        <v>569</v>
      </c>
      <c r="O134" t="s">
        <v>569</v>
      </c>
      <c r="P134" t="s">
        <v>569</v>
      </c>
      <c r="Q134" t="s">
        <v>569</v>
      </c>
      <c r="R134">
        <v>-38.369999999999997</v>
      </c>
      <c r="S134" t="s">
        <v>1111</v>
      </c>
      <c r="T134">
        <v>145.19999999999999</v>
      </c>
      <c r="U134" t="s">
        <v>1201</v>
      </c>
      <c r="V134" t="s">
        <v>569</v>
      </c>
      <c r="W134" t="s">
        <v>569</v>
      </c>
      <c r="X134" t="s">
        <v>569</v>
      </c>
      <c r="Y134" t="s">
        <v>569</v>
      </c>
      <c r="Z134" t="s">
        <v>569</v>
      </c>
      <c r="AA134" t="s">
        <v>569</v>
      </c>
      <c r="AB134">
        <v>5000</v>
      </c>
      <c r="AC1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5" spans="1:29" x14ac:dyDescent="0.25">
      <c r="A135" t="s">
        <v>569</v>
      </c>
      <c r="B135" t="s">
        <v>978</v>
      </c>
      <c r="C135" t="s">
        <v>505</v>
      </c>
      <c r="D135" t="s">
        <v>522</v>
      </c>
      <c r="E135" t="s">
        <v>523</v>
      </c>
      <c r="F135" t="s">
        <v>569</v>
      </c>
      <c r="G135" t="s">
        <v>569</v>
      </c>
      <c r="H135" t="s">
        <v>569</v>
      </c>
      <c r="I135" t="s">
        <v>569</v>
      </c>
      <c r="J135" t="s">
        <v>569</v>
      </c>
      <c r="K135" t="s">
        <v>569</v>
      </c>
      <c r="L135" t="s">
        <v>569</v>
      </c>
      <c r="M135" t="s">
        <v>569</v>
      </c>
      <c r="N135" t="s">
        <v>569</v>
      </c>
      <c r="O135" t="s">
        <v>569</v>
      </c>
      <c r="P135" t="s">
        <v>569</v>
      </c>
      <c r="Q135" t="s">
        <v>569</v>
      </c>
      <c r="R135">
        <v>-38.35</v>
      </c>
      <c r="S135" t="s">
        <v>1111</v>
      </c>
      <c r="T135">
        <v>144.94999999999999</v>
      </c>
      <c r="U135" t="s">
        <v>1201</v>
      </c>
      <c r="V135" t="s">
        <v>569</v>
      </c>
      <c r="W135" t="s">
        <v>569</v>
      </c>
      <c r="X135" t="s">
        <v>569</v>
      </c>
      <c r="Y135" t="s">
        <v>569</v>
      </c>
      <c r="Z135" t="s">
        <v>569</v>
      </c>
      <c r="AA135" t="s">
        <v>569</v>
      </c>
      <c r="AB135">
        <v>5000</v>
      </c>
      <c r="AC1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6" spans="1:29" x14ac:dyDescent="0.25">
      <c r="A136" t="s">
        <v>569</v>
      </c>
      <c r="B136" t="s">
        <v>1295</v>
      </c>
      <c r="C136" t="s">
        <v>505</v>
      </c>
      <c r="D136" t="s">
        <v>522</v>
      </c>
      <c r="E136" t="s">
        <v>523</v>
      </c>
      <c r="F136" t="s">
        <v>569</v>
      </c>
      <c r="G136" t="s">
        <v>569</v>
      </c>
      <c r="H136" t="s">
        <v>569</v>
      </c>
      <c r="I136" t="s">
        <v>569</v>
      </c>
      <c r="J136" t="s">
        <v>569</v>
      </c>
      <c r="K136" t="s">
        <v>569</v>
      </c>
      <c r="L136" t="s">
        <v>569</v>
      </c>
      <c r="M136" t="s">
        <v>569</v>
      </c>
      <c r="N136" t="s">
        <v>569</v>
      </c>
      <c r="O136" t="s">
        <v>569</v>
      </c>
      <c r="P136" t="s">
        <v>569</v>
      </c>
      <c r="Q136" t="s">
        <v>569</v>
      </c>
      <c r="R136">
        <v>-38.369999999999997</v>
      </c>
      <c r="S136" t="s">
        <v>1111</v>
      </c>
      <c r="T136">
        <v>145.22</v>
      </c>
      <c r="U136" t="s">
        <v>1201</v>
      </c>
      <c r="V136" t="s">
        <v>569</v>
      </c>
      <c r="W136" t="s">
        <v>569</v>
      </c>
      <c r="X136" t="s">
        <v>569</v>
      </c>
      <c r="Y136" t="s">
        <v>569</v>
      </c>
      <c r="Z136" t="s">
        <v>569</v>
      </c>
      <c r="AA136" t="s">
        <v>569</v>
      </c>
      <c r="AB136">
        <v>5000</v>
      </c>
      <c r="AC13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7" spans="1:29" x14ac:dyDescent="0.25">
      <c r="A137" t="s">
        <v>569</v>
      </c>
      <c r="B137" t="s">
        <v>1296</v>
      </c>
      <c r="C137" t="s">
        <v>504</v>
      </c>
      <c r="D137" t="s">
        <v>501</v>
      </c>
      <c r="E137" t="s">
        <v>502</v>
      </c>
      <c r="F137" t="s">
        <v>569</v>
      </c>
      <c r="G137" t="s">
        <v>569</v>
      </c>
      <c r="H137" t="s">
        <v>569</v>
      </c>
      <c r="I137" t="s">
        <v>569</v>
      </c>
      <c r="J137" t="s">
        <v>569</v>
      </c>
      <c r="K137" t="s">
        <v>569</v>
      </c>
      <c r="L137" t="s">
        <v>569</v>
      </c>
      <c r="M137" t="s">
        <v>569</v>
      </c>
      <c r="N137" t="s">
        <v>569</v>
      </c>
      <c r="O137" t="s">
        <v>569</v>
      </c>
      <c r="P137" t="s">
        <v>569</v>
      </c>
      <c r="Q137" t="s">
        <v>569</v>
      </c>
      <c r="R137">
        <v>49.35</v>
      </c>
      <c r="S137" t="s">
        <v>1213</v>
      </c>
      <c r="T137">
        <v>-124.44</v>
      </c>
      <c r="U137" t="s">
        <v>1206</v>
      </c>
      <c r="V137" t="s">
        <v>569</v>
      </c>
      <c r="W137" t="s">
        <v>569</v>
      </c>
      <c r="X137" t="s">
        <v>569</v>
      </c>
      <c r="Y137" t="s">
        <v>569</v>
      </c>
      <c r="Z137" t="s">
        <v>569</v>
      </c>
      <c r="AA137" t="s">
        <v>569</v>
      </c>
      <c r="AB137">
        <v>5000</v>
      </c>
      <c r="AC1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8" spans="1:29" x14ac:dyDescent="0.25">
      <c r="A138" t="s">
        <v>569</v>
      </c>
      <c r="B138" t="s">
        <v>569</v>
      </c>
      <c r="C138" t="s">
        <v>505</v>
      </c>
      <c r="D138" t="s">
        <v>522</v>
      </c>
      <c r="E138" t="s">
        <v>523</v>
      </c>
      <c r="F138" t="s">
        <v>569</v>
      </c>
      <c r="G138" t="s">
        <v>1519</v>
      </c>
      <c r="H138" t="s">
        <v>1521</v>
      </c>
      <c r="I138" t="s">
        <v>1520</v>
      </c>
      <c r="J138" t="s">
        <v>569</v>
      </c>
      <c r="K138" t="s">
        <v>569</v>
      </c>
      <c r="L138" t="s">
        <v>569</v>
      </c>
      <c r="M138" t="s">
        <v>569</v>
      </c>
      <c r="N138" t="s">
        <v>569</v>
      </c>
      <c r="O138" t="s">
        <v>569</v>
      </c>
      <c r="P138" t="s">
        <v>569</v>
      </c>
      <c r="Q138" t="s">
        <v>569</v>
      </c>
      <c r="R138" t="s">
        <v>569</v>
      </c>
      <c r="S138" t="s">
        <v>569</v>
      </c>
      <c r="T138" t="s">
        <v>569</v>
      </c>
      <c r="U138" t="s">
        <v>569</v>
      </c>
      <c r="V138" t="s">
        <v>569</v>
      </c>
      <c r="W138" t="s">
        <v>569</v>
      </c>
      <c r="X138" t="s">
        <v>569</v>
      </c>
      <c r="Y138" t="s">
        <v>569</v>
      </c>
      <c r="Z138" t="s">
        <v>569</v>
      </c>
      <c r="AA138" t="s">
        <v>569</v>
      </c>
      <c r="AB138">
        <v>500</v>
      </c>
      <c r="AC13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39" spans="1:29" x14ac:dyDescent="0.25">
      <c r="A139" t="s">
        <v>569</v>
      </c>
      <c r="B139" t="s">
        <v>569</v>
      </c>
      <c r="C139" t="s">
        <v>677</v>
      </c>
      <c r="D139" t="s">
        <v>522</v>
      </c>
      <c r="E139" t="s">
        <v>523</v>
      </c>
      <c r="F139" t="s">
        <v>569</v>
      </c>
      <c r="G139" t="s">
        <v>1522</v>
      </c>
      <c r="H139" t="s">
        <v>1288</v>
      </c>
      <c r="I139" t="s">
        <v>1430</v>
      </c>
      <c r="J139" t="s">
        <v>569</v>
      </c>
      <c r="K139" t="s">
        <v>569</v>
      </c>
      <c r="L139" t="s">
        <v>569</v>
      </c>
      <c r="M139" t="s">
        <v>569</v>
      </c>
      <c r="N139" t="s">
        <v>569</v>
      </c>
      <c r="O139" t="s">
        <v>569</v>
      </c>
      <c r="P139" t="s">
        <v>569</v>
      </c>
      <c r="Q139" t="s">
        <v>569</v>
      </c>
      <c r="R139" t="s">
        <v>569</v>
      </c>
      <c r="S139" t="s">
        <v>569</v>
      </c>
      <c r="T139" t="s">
        <v>569</v>
      </c>
      <c r="U139" t="s">
        <v>569</v>
      </c>
      <c r="V139" t="s">
        <v>569</v>
      </c>
      <c r="W139" t="s">
        <v>569</v>
      </c>
      <c r="X139" t="s">
        <v>569</v>
      </c>
      <c r="Y139" t="s">
        <v>569</v>
      </c>
      <c r="Z139" t="s">
        <v>569</v>
      </c>
      <c r="AA139" t="s">
        <v>569</v>
      </c>
      <c r="AB139">
        <v>500</v>
      </c>
      <c r="AC13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0" spans="1:29" x14ac:dyDescent="0.25">
      <c r="A140" t="s">
        <v>569</v>
      </c>
      <c r="B140" t="s">
        <v>569</v>
      </c>
      <c r="C140" t="s">
        <v>505</v>
      </c>
      <c r="D140" t="s">
        <v>522</v>
      </c>
      <c r="E140" t="s">
        <v>523</v>
      </c>
      <c r="F140" t="s">
        <v>569</v>
      </c>
      <c r="G140" t="s">
        <v>1523</v>
      </c>
      <c r="H140" t="s">
        <v>1524</v>
      </c>
      <c r="I140" t="s">
        <v>1030</v>
      </c>
      <c r="J140" t="s">
        <v>569</v>
      </c>
      <c r="K140" t="s">
        <v>569</v>
      </c>
      <c r="L140" t="s">
        <v>569</v>
      </c>
      <c r="M140" t="s">
        <v>569</v>
      </c>
      <c r="N140" t="s">
        <v>569</v>
      </c>
      <c r="O140" t="s">
        <v>569</v>
      </c>
      <c r="P140" t="s">
        <v>569</v>
      </c>
      <c r="Q140" t="s">
        <v>569</v>
      </c>
      <c r="R140" t="s">
        <v>569</v>
      </c>
      <c r="S140" t="s">
        <v>569</v>
      </c>
      <c r="T140" t="s">
        <v>569</v>
      </c>
      <c r="U140" t="s">
        <v>569</v>
      </c>
      <c r="V140" t="s">
        <v>569</v>
      </c>
      <c r="W140" t="s">
        <v>569</v>
      </c>
      <c r="X140" t="s">
        <v>569</v>
      </c>
      <c r="Y140" t="s">
        <v>569</v>
      </c>
      <c r="Z140" t="s">
        <v>569</v>
      </c>
      <c r="AA140" t="s">
        <v>569</v>
      </c>
      <c r="AB140">
        <v>500</v>
      </c>
      <c r="AC14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1" spans="1:29" x14ac:dyDescent="0.25">
      <c r="A141" t="s">
        <v>569</v>
      </c>
      <c r="B141" t="s">
        <v>569</v>
      </c>
      <c r="C141" t="s">
        <v>505</v>
      </c>
      <c r="D141" t="s">
        <v>522</v>
      </c>
      <c r="E141" t="s">
        <v>523</v>
      </c>
      <c r="F141" t="s">
        <v>569</v>
      </c>
      <c r="G141" t="s">
        <v>1519</v>
      </c>
      <c r="H141" t="s">
        <v>1525</v>
      </c>
      <c r="I141" t="s">
        <v>1520</v>
      </c>
      <c r="J141" t="s">
        <v>569</v>
      </c>
      <c r="K141" t="s">
        <v>569</v>
      </c>
      <c r="L141" t="s">
        <v>569</v>
      </c>
      <c r="M141" t="s">
        <v>569</v>
      </c>
      <c r="N141" t="s">
        <v>569</v>
      </c>
      <c r="O141" t="s">
        <v>569</v>
      </c>
      <c r="P141" t="s">
        <v>569</v>
      </c>
      <c r="Q141" t="s">
        <v>569</v>
      </c>
      <c r="R141" t="s">
        <v>569</v>
      </c>
      <c r="S141" t="s">
        <v>569</v>
      </c>
      <c r="T141" t="s">
        <v>569</v>
      </c>
      <c r="U141" t="s">
        <v>569</v>
      </c>
      <c r="V141" t="s">
        <v>569</v>
      </c>
      <c r="W141" t="s">
        <v>569</v>
      </c>
      <c r="X141" t="s">
        <v>569</v>
      </c>
      <c r="Y141" t="s">
        <v>569</v>
      </c>
      <c r="Z141" t="s">
        <v>569</v>
      </c>
      <c r="AA141" t="s">
        <v>569</v>
      </c>
      <c r="AB141">
        <v>500</v>
      </c>
      <c r="AC14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2" spans="1:29" x14ac:dyDescent="0.25">
      <c r="A142" t="s">
        <v>569</v>
      </c>
      <c r="B142" t="s">
        <v>569</v>
      </c>
      <c r="C142" t="s">
        <v>505</v>
      </c>
      <c r="D142" t="s">
        <v>522</v>
      </c>
      <c r="E142" t="s">
        <v>523</v>
      </c>
      <c r="F142" t="s">
        <v>569</v>
      </c>
      <c r="G142" t="s">
        <v>1519</v>
      </c>
      <c r="H142" t="s">
        <v>1526</v>
      </c>
      <c r="I142" t="s">
        <v>1520</v>
      </c>
      <c r="J142" t="s">
        <v>569</v>
      </c>
      <c r="K142" t="s">
        <v>569</v>
      </c>
      <c r="L142" t="s">
        <v>569</v>
      </c>
      <c r="M142" t="s">
        <v>569</v>
      </c>
      <c r="N142" t="s">
        <v>569</v>
      </c>
      <c r="O142" t="s">
        <v>569</v>
      </c>
      <c r="P142" t="s">
        <v>569</v>
      </c>
      <c r="Q142" t="s">
        <v>569</v>
      </c>
      <c r="R142" t="s">
        <v>569</v>
      </c>
      <c r="S142" t="s">
        <v>569</v>
      </c>
      <c r="T142" t="s">
        <v>569</v>
      </c>
      <c r="U142" t="s">
        <v>569</v>
      </c>
      <c r="V142" t="s">
        <v>569</v>
      </c>
      <c r="W142" t="s">
        <v>569</v>
      </c>
      <c r="X142" t="s">
        <v>569</v>
      </c>
      <c r="Y142" t="s">
        <v>569</v>
      </c>
      <c r="Z142" t="s">
        <v>569</v>
      </c>
      <c r="AA142" t="s">
        <v>569</v>
      </c>
      <c r="AB142">
        <v>500</v>
      </c>
      <c r="AC14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3" spans="1:29" x14ac:dyDescent="0.25">
      <c r="A143" t="s">
        <v>569</v>
      </c>
      <c r="B143" t="s">
        <v>569</v>
      </c>
      <c r="C143" t="s">
        <v>505</v>
      </c>
      <c r="D143" t="s">
        <v>522</v>
      </c>
      <c r="E143" t="s">
        <v>523</v>
      </c>
      <c r="F143" t="s">
        <v>569</v>
      </c>
      <c r="G143" t="s">
        <v>1519</v>
      </c>
      <c r="H143" t="s">
        <v>1527</v>
      </c>
      <c r="I143" t="s">
        <v>1520</v>
      </c>
      <c r="J143" t="s">
        <v>569</v>
      </c>
      <c r="K143" t="s">
        <v>569</v>
      </c>
      <c r="L143" t="s">
        <v>569</v>
      </c>
      <c r="M143" t="s">
        <v>569</v>
      </c>
      <c r="N143" t="s">
        <v>569</v>
      </c>
      <c r="O143" t="s">
        <v>569</v>
      </c>
      <c r="P143" t="s">
        <v>569</v>
      </c>
      <c r="Q143" t="s">
        <v>569</v>
      </c>
      <c r="R143" t="s">
        <v>569</v>
      </c>
      <c r="S143" t="s">
        <v>569</v>
      </c>
      <c r="T143" t="s">
        <v>569</v>
      </c>
      <c r="U143" t="s">
        <v>569</v>
      </c>
      <c r="V143" t="s">
        <v>569</v>
      </c>
      <c r="W143" t="s">
        <v>569</v>
      </c>
      <c r="X143" t="s">
        <v>569</v>
      </c>
      <c r="Y143" t="s">
        <v>569</v>
      </c>
      <c r="Z143" t="s">
        <v>569</v>
      </c>
      <c r="AA143" t="s">
        <v>569</v>
      </c>
      <c r="AB143">
        <v>500</v>
      </c>
      <c r="AC14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4" spans="1:29" x14ac:dyDescent="0.25">
      <c r="A144" t="s">
        <v>569</v>
      </c>
      <c r="B144" t="s">
        <v>569</v>
      </c>
      <c r="C144" t="s">
        <v>505</v>
      </c>
      <c r="D144" t="s">
        <v>522</v>
      </c>
      <c r="E144" t="s">
        <v>523</v>
      </c>
      <c r="F144" t="s">
        <v>569</v>
      </c>
      <c r="G144" t="s">
        <v>1519</v>
      </c>
      <c r="H144" t="s">
        <v>1528</v>
      </c>
      <c r="I144" t="s">
        <v>1520</v>
      </c>
      <c r="J144" t="s">
        <v>569</v>
      </c>
      <c r="K144" t="s">
        <v>569</v>
      </c>
      <c r="L144" t="s">
        <v>569</v>
      </c>
      <c r="M144" t="s">
        <v>569</v>
      </c>
      <c r="N144" t="s">
        <v>569</v>
      </c>
      <c r="O144" t="s">
        <v>569</v>
      </c>
      <c r="P144" t="s">
        <v>569</v>
      </c>
      <c r="Q144" t="s">
        <v>569</v>
      </c>
      <c r="R144" t="s">
        <v>569</v>
      </c>
      <c r="S144" t="s">
        <v>569</v>
      </c>
      <c r="T144" t="s">
        <v>569</v>
      </c>
      <c r="U144" t="s">
        <v>569</v>
      </c>
      <c r="V144" t="s">
        <v>569</v>
      </c>
      <c r="W144" t="s">
        <v>569</v>
      </c>
      <c r="X144" t="s">
        <v>569</v>
      </c>
      <c r="Y144" t="s">
        <v>569</v>
      </c>
      <c r="Z144" t="s">
        <v>569</v>
      </c>
      <c r="AA144" t="s">
        <v>569</v>
      </c>
      <c r="AB144">
        <v>500</v>
      </c>
      <c r="AC14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5" spans="1:29" x14ac:dyDescent="0.25">
      <c r="A145" t="s">
        <v>569</v>
      </c>
      <c r="B145" t="s">
        <v>569</v>
      </c>
      <c r="C145" t="s">
        <v>505</v>
      </c>
      <c r="D145" t="s">
        <v>522</v>
      </c>
      <c r="E145" t="s">
        <v>523</v>
      </c>
      <c r="F145" t="s">
        <v>569</v>
      </c>
      <c r="G145" t="s">
        <v>1519</v>
      </c>
      <c r="H145" t="s">
        <v>1529</v>
      </c>
      <c r="I145" t="s">
        <v>1520</v>
      </c>
      <c r="J145" t="s">
        <v>569</v>
      </c>
      <c r="K145" t="s">
        <v>569</v>
      </c>
      <c r="L145" t="s">
        <v>569</v>
      </c>
      <c r="M145" t="s">
        <v>569</v>
      </c>
      <c r="N145" t="s">
        <v>569</v>
      </c>
      <c r="O145" t="s">
        <v>569</v>
      </c>
      <c r="P145" t="s">
        <v>569</v>
      </c>
      <c r="Q145" t="s">
        <v>569</v>
      </c>
      <c r="R145" t="s">
        <v>569</v>
      </c>
      <c r="S145" t="s">
        <v>569</v>
      </c>
      <c r="T145" t="s">
        <v>569</v>
      </c>
      <c r="U145" t="s">
        <v>569</v>
      </c>
      <c r="V145" t="s">
        <v>569</v>
      </c>
      <c r="W145" t="s">
        <v>569</v>
      </c>
      <c r="X145" t="s">
        <v>569</v>
      </c>
      <c r="Y145" t="s">
        <v>569</v>
      </c>
      <c r="Z145" t="s">
        <v>569</v>
      </c>
      <c r="AA145" t="s">
        <v>569</v>
      </c>
      <c r="AB145">
        <v>500</v>
      </c>
      <c r="AC14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6" spans="1:29" x14ac:dyDescent="0.25">
      <c r="A146" t="s">
        <v>569</v>
      </c>
      <c r="B146" t="s">
        <v>569</v>
      </c>
      <c r="C146" t="s">
        <v>707</v>
      </c>
      <c r="D146" t="s">
        <v>522</v>
      </c>
      <c r="E146" t="s">
        <v>523</v>
      </c>
      <c r="F146" t="s">
        <v>569</v>
      </c>
      <c r="G146" t="s">
        <v>1537</v>
      </c>
      <c r="H146" t="s">
        <v>1538</v>
      </c>
      <c r="I146" t="s">
        <v>1033</v>
      </c>
      <c r="J146" t="s">
        <v>569</v>
      </c>
      <c r="K146" t="s">
        <v>569</v>
      </c>
      <c r="L146" t="s">
        <v>569</v>
      </c>
      <c r="M146" t="s">
        <v>569</v>
      </c>
      <c r="N146" t="s">
        <v>569</v>
      </c>
      <c r="O146" t="s">
        <v>569</v>
      </c>
      <c r="P146" t="s">
        <v>569</v>
      </c>
      <c r="Q146" t="s">
        <v>569</v>
      </c>
      <c r="R146" t="s">
        <v>569</v>
      </c>
      <c r="S146" t="s">
        <v>569</v>
      </c>
      <c r="T146" t="s">
        <v>569</v>
      </c>
      <c r="U146" t="s">
        <v>569</v>
      </c>
      <c r="V146" t="s">
        <v>569</v>
      </c>
      <c r="W146" t="s">
        <v>569</v>
      </c>
      <c r="X146" t="s">
        <v>569</v>
      </c>
      <c r="Y146" t="s">
        <v>569</v>
      </c>
      <c r="Z146" t="s">
        <v>569</v>
      </c>
      <c r="AA146" t="s">
        <v>569</v>
      </c>
      <c r="AB146">
        <v>500</v>
      </c>
      <c r="AC14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7" spans="1:29" x14ac:dyDescent="0.25">
      <c r="A147" t="s">
        <v>569</v>
      </c>
      <c r="B147" t="s">
        <v>569</v>
      </c>
      <c r="C147" t="s">
        <v>504</v>
      </c>
      <c r="D147" t="s">
        <v>501</v>
      </c>
      <c r="E147" t="s">
        <v>502</v>
      </c>
      <c r="F147" t="s">
        <v>569</v>
      </c>
      <c r="G147" t="s">
        <v>1490</v>
      </c>
      <c r="H147" t="s">
        <v>1505</v>
      </c>
      <c r="I147" t="s">
        <v>1028</v>
      </c>
      <c r="J147" t="s">
        <v>569</v>
      </c>
      <c r="K147" t="s">
        <v>569</v>
      </c>
      <c r="L147" t="s">
        <v>569</v>
      </c>
      <c r="M147" t="s">
        <v>569</v>
      </c>
      <c r="N147" t="s">
        <v>569</v>
      </c>
      <c r="O147" t="s">
        <v>569</v>
      </c>
      <c r="P147" t="s">
        <v>569</v>
      </c>
      <c r="Q147" t="s">
        <v>569</v>
      </c>
      <c r="R147" t="s">
        <v>569</v>
      </c>
      <c r="S147" t="s">
        <v>569</v>
      </c>
      <c r="T147" t="s">
        <v>569</v>
      </c>
      <c r="U147" t="s">
        <v>569</v>
      </c>
      <c r="V147" t="s">
        <v>569</v>
      </c>
      <c r="W147" t="s">
        <v>569</v>
      </c>
      <c r="X147" t="s">
        <v>569</v>
      </c>
      <c r="Y147" t="s">
        <v>569</v>
      </c>
      <c r="Z147" t="s">
        <v>569</v>
      </c>
      <c r="AA147" t="s">
        <v>569</v>
      </c>
      <c r="AB147">
        <v>500</v>
      </c>
      <c r="AC14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8" spans="1:29" x14ac:dyDescent="0.25">
      <c r="A148" t="s">
        <v>569</v>
      </c>
      <c r="B148" t="s">
        <v>569</v>
      </c>
      <c r="C148" t="s">
        <v>504</v>
      </c>
      <c r="D148" t="s">
        <v>501</v>
      </c>
      <c r="E148" t="s">
        <v>502</v>
      </c>
      <c r="F148" t="s">
        <v>569</v>
      </c>
      <c r="G148" t="s">
        <v>1490</v>
      </c>
      <c r="H148" t="s">
        <v>1506</v>
      </c>
      <c r="I148" t="s">
        <v>1028</v>
      </c>
      <c r="J148" t="s">
        <v>569</v>
      </c>
      <c r="K148" t="s">
        <v>569</v>
      </c>
      <c r="L148" t="s">
        <v>569</v>
      </c>
      <c r="M148" t="s">
        <v>569</v>
      </c>
      <c r="N148" t="s">
        <v>569</v>
      </c>
      <c r="O148" t="s">
        <v>569</v>
      </c>
      <c r="P148" t="s">
        <v>569</v>
      </c>
      <c r="Q148" t="s">
        <v>569</v>
      </c>
      <c r="R148" t="s">
        <v>569</v>
      </c>
      <c r="S148" t="s">
        <v>569</v>
      </c>
      <c r="T148" t="s">
        <v>569</v>
      </c>
      <c r="U148" t="s">
        <v>569</v>
      </c>
      <c r="V148" t="s">
        <v>569</v>
      </c>
      <c r="W148" t="s">
        <v>569</v>
      </c>
      <c r="X148" t="s">
        <v>569</v>
      </c>
      <c r="Y148" t="s">
        <v>569</v>
      </c>
      <c r="Z148" t="s">
        <v>569</v>
      </c>
      <c r="AA148" t="s">
        <v>569</v>
      </c>
      <c r="AB148">
        <v>500</v>
      </c>
      <c r="AC14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49" spans="1:29" x14ac:dyDescent="0.25">
      <c r="A149" t="s">
        <v>569</v>
      </c>
      <c r="B149" t="s">
        <v>569</v>
      </c>
      <c r="C149" t="s">
        <v>504</v>
      </c>
      <c r="D149" t="s">
        <v>501</v>
      </c>
      <c r="E149" t="s">
        <v>502</v>
      </c>
      <c r="F149" t="s">
        <v>569</v>
      </c>
      <c r="G149" t="s">
        <v>1490</v>
      </c>
      <c r="H149" t="s">
        <v>1507</v>
      </c>
      <c r="I149" t="s">
        <v>1063</v>
      </c>
      <c r="J149" t="s">
        <v>569</v>
      </c>
      <c r="K149" t="s">
        <v>569</v>
      </c>
      <c r="L149" t="s">
        <v>569</v>
      </c>
      <c r="M149" t="s">
        <v>569</v>
      </c>
      <c r="N149" t="s">
        <v>569</v>
      </c>
      <c r="O149" t="s">
        <v>569</v>
      </c>
      <c r="P149" t="s">
        <v>569</v>
      </c>
      <c r="Q149" t="s">
        <v>569</v>
      </c>
      <c r="R149" t="s">
        <v>569</v>
      </c>
      <c r="S149" t="s">
        <v>569</v>
      </c>
      <c r="T149" t="s">
        <v>569</v>
      </c>
      <c r="U149" t="s">
        <v>569</v>
      </c>
      <c r="V149" t="s">
        <v>569</v>
      </c>
      <c r="W149" t="s">
        <v>569</v>
      </c>
      <c r="X149" t="s">
        <v>569</v>
      </c>
      <c r="Y149" t="s">
        <v>569</v>
      </c>
      <c r="Z149" t="s">
        <v>569</v>
      </c>
      <c r="AA149" t="s">
        <v>569</v>
      </c>
      <c r="AB149">
        <v>500</v>
      </c>
      <c r="AC14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0" spans="1:29" x14ac:dyDescent="0.25">
      <c r="A150" t="s">
        <v>569</v>
      </c>
      <c r="B150" t="s">
        <v>569</v>
      </c>
      <c r="C150" t="s">
        <v>504</v>
      </c>
      <c r="D150" t="s">
        <v>501</v>
      </c>
      <c r="E150" t="s">
        <v>502</v>
      </c>
      <c r="F150" t="s">
        <v>569</v>
      </c>
      <c r="G150" t="s">
        <v>1490</v>
      </c>
      <c r="H150" t="s">
        <v>1508</v>
      </c>
      <c r="I150" t="s">
        <v>1033</v>
      </c>
      <c r="J150" t="s">
        <v>569</v>
      </c>
      <c r="K150" t="s">
        <v>569</v>
      </c>
      <c r="L150" t="s">
        <v>569</v>
      </c>
      <c r="M150" t="s">
        <v>569</v>
      </c>
      <c r="N150" t="s">
        <v>569</v>
      </c>
      <c r="O150" t="s">
        <v>569</v>
      </c>
      <c r="P150" t="s">
        <v>569</v>
      </c>
      <c r="Q150" t="s">
        <v>569</v>
      </c>
      <c r="R150" t="s">
        <v>569</v>
      </c>
      <c r="S150" t="s">
        <v>569</v>
      </c>
      <c r="T150" t="s">
        <v>569</v>
      </c>
      <c r="U150" t="s">
        <v>569</v>
      </c>
      <c r="V150" t="s">
        <v>569</v>
      </c>
      <c r="W150" t="s">
        <v>569</v>
      </c>
      <c r="X150" t="s">
        <v>569</v>
      </c>
      <c r="Y150" t="s">
        <v>569</v>
      </c>
      <c r="Z150" t="s">
        <v>569</v>
      </c>
      <c r="AA150" t="s">
        <v>569</v>
      </c>
      <c r="AB150">
        <v>500</v>
      </c>
      <c r="AC15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1" spans="1:29" x14ac:dyDescent="0.25">
      <c r="A151" t="s">
        <v>569</v>
      </c>
      <c r="B151" t="s">
        <v>569</v>
      </c>
      <c r="C151" t="s">
        <v>504</v>
      </c>
      <c r="D151" t="s">
        <v>501</v>
      </c>
      <c r="E151" t="s">
        <v>502</v>
      </c>
      <c r="F151" t="s">
        <v>569</v>
      </c>
      <c r="G151" t="s">
        <v>1490</v>
      </c>
      <c r="H151" t="s">
        <v>1489</v>
      </c>
      <c r="I151" t="s">
        <v>1028</v>
      </c>
      <c r="J151" t="s">
        <v>569</v>
      </c>
      <c r="K151" t="s">
        <v>569</v>
      </c>
      <c r="L151" t="s">
        <v>569</v>
      </c>
      <c r="M151" t="s">
        <v>569</v>
      </c>
      <c r="N151" t="s">
        <v>569</v>
      </c>
      <c r="O151" t="s">
        <v>569</v>
      </c>
      <c r="P151" t="s">
        <v>569</v>
      </c>
      <c r="Q151" t="s">
        <v>569</v>
      </c>
      <c r="R151" t="s">
        <v>569</v>
      </c>
      <c r="S151" t="s">
        <v>569</v>
      </c>
      <c r="T151" t="s">
        <v>569</v>
      </c>
      <c r="U151" t="s">
        <v>569</v>
      </c>
      <c r="V151" t="s">
        <v>569</v>
      </c>
      <c r="W151" t="s">
        <v>569</v>
      </c>
      <c r="X151" t="s">
        <v>569</v>
      </c>
      <c r="Y151" t="s">
        <v>569</v>
      </c>
      <c r="Z151" t="s">
        <v>569</v>
      </c>
      <c r="AA151" t="s">
        <v>569</v>
      </c>
      <c r="AB151">
        <v>500</v>
      </c>
      <c r="AC15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2" spans="1:29" x14ac:dyDescent="0.25">
      <c r="A152" t="s">
        <v>569</v>
      </c>
      <c r="B152" t="s">
        <v>569</v>
      </c>
      <c r="C152" t="s">
        <v>504</v>
      </c>
      <c r="D152" t="s">
        <v>501</v>
      </c>
      <c r="E152" t="s">
        <v>502</v>
      </c>
      <c r="F152" t="s">
        <v>569</v>
      </c>
      <c r="G152" t="s">
        <v>1490</v>
      </c>
      <c r="H152" t="s">
        <v>1489</v>
      </c>
      <c r="I152" t="s">
        <v>1027</v>
      </c>
      <c r="J152" t="s">
        <v>569</v>
      </c>
      <c r="K152" t="s">
        <v>569</v>
      </c>
      <c r="L152" t="s">
        <v>569</v>
      </c>
      <c r="M152" t="s">
        <v>569</v>
      </c>
      <c r="N152" t="s">
        <v>569</v>
      </c>
      <c r="O152" t="s">
        <v>569</v>
      </c>
      <c r="P152" t="s">
        <v>569</v>
      </c>
      <c r="Q152" t="s">
        <v>569</v>
      </c>
      <c r="R152" t="s">
        <v>569</v>
      </c>
      <c r="S152" t="s">
        <v>569</v>
      </c>
      <c r="T152" t="s">
        <v>569</v>
      </c>
      <c r="U152" t="s">
        <v>569</v>
      </c>
      <c r="V152" t="s">
        <v>569</v>
      </c>
      <c r="W152" t="s">
        <v>569</v>
      </c>
      <c r="X152" t="s">
        <v>569</v>
      </c>
      <c r="Y152" t="s">
        <v>569</v>
      </c>
      <c r="Z152" t="s">
        <v>569</v>
      </c>
      <c r="AA152" t="s">
        <v>569</v>
      </c>
      <c r="AB152">
        <v>500</v>
      </c>
      <c r="AC15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3" spans="1:29" x14ac:dyDescent="0.25">
      <c r="A153" t="s">
        <v>569</v>
      </c>
      <c r="B153" t="s">
        <v>569</v>
      </c>
      <c r="C153" t="s">
        <v>504</v>
      </c>
      <c r="D153" t="s">
        <v>501</v>
      </c>
      <c r="E153" t="s">
        <v>502</v>
      </c>
      <c r="F153" t="s">
        <v>569</v>
      </c>
      <c r="G153" t="s">
        <v>1490</v>
      </c>
      <c r="H153" t="s">
        <v>1509</v>
      </c>
      <c r="I153" t="s">
        <v>1030</v>
      </c>
      <c r="J153" t="s">
        <v>569</v>
      </c>
      <c r="K153" t="s">
        <v>569</v>
      </c>
      <c r="L153" t="s">
        <v>569</v>
      </c>
      <c r="M153" t="s">
        <v>569</v>
      </c>
      <c r="N153" t="s">
        <v>569</v>
      </c>
      <c r="O153" t="s">
        <v>569</v>
      </c>
      <c r="P153" t="s">
        <v>569</v>
      </c>
      <c r="Q153" t="s">
        <v>569</v>
      </c>
      <c r="R153" t="s">
        <v>569</v>
      </c>
      <c r="S153" t="s">
        <v>569</v>
      </c>
      <c r="T153" t="s">
        <v>569</v>
      </c>
      <c r="U153" t="s">
        <v>569</v>
      </c>
      <c r="V153" t="s">
        <v>569</v>
      </c>
      <c r="W153" t="s">
        <v>569</v>
      </c>
      <c r="X153" t="s">
        <v>569</v>
      </c>
      <c r="Y153" t="s">
        <v>569</v>
      </c>
      <c r="Z153" t="s">
        <v>569</v>
      </c>
      <c r="AA153" t="s">
        <v>569</v>
      </c>
      <c r="AB153">
        <v>500</v>
      </c>
      <c r="AC15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4" spans="1:29" x14ac:dyDescent="0.25">
      <c r="A154" t="s">
        <v>569</v>
      </c>
      <c r="B154" t="s">
        <v>569</v>
      </c>
      <c r="C154" t="s">
        <v>504</v>
      </c>
      <c r="D154" t="s">
        <v>501</v>
      </c>
      <c r="E154" t="s">
        <v>502</v>
      </c>
      <c r="F154" t="s">
        <v>569</v>
      </c>
      <c r="G154" t="s">
        <v>1490</v>
      </c>
      <c r="H154" t="s">
        <v>583</v>
      </c>
      <c r="I154" t="s">
        <v>1027</v>
      </c>
      <c r="J154" t="s">
        <v>569</v>
      </c>
      <c r="K154" t="s">
        <v>569</v>
      </c>
      <c r="L154" t="s">
        <v>569</v>
      </c>
      <c r="M154" t="s">
        <v>569</v>
      </c>
      <c r="N154" t="s">
        <v>569</v>
      </c>
      <c r="O154" t="s">
        <v>569</v>
      </c>
      <c r="P154" t="s">
        <v>569</v>
      </c>
      <c r="Q154" t="s">
        <v>569</v>
      </c>
      <c r="R154" t="s">
        <v>569</v>
      </c>
      <c r="S154" t="s">
        <v>569</v>
      </c>
      <c r="T154" t="s">
        <v>569</v>
      </c>
      <c r="U154" t="s">
        <v>569</v>
      </c>
      <c r="V154" t="s">
        <v>569</v>
      </c>
      <c r="W154" t="s">
        <v>569</v>
      </c>
      <c r="X154" t="s">
        <v>569</v>
      </c>
      <c r="Y154" t="s">
        <v>569</v>
      </c>
      <c r="Z154" t="s">
        <v>569</v>
      </c>
      <c r="AA154" t="s">
        <v>569</v>
      </c>
      <c r="AB154">
        <v>500</v>
      </c>
      <c r="AC15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5" spans="1:29" x14ac:dyDescent="0.25">
      <c r="A155" t="s">
        <v>569</v>
      </c>
      <c r="B155" t="s">
        <v>569</v>
      </c>
      <c r="C155" t="s">
        <v>504</v>
      </c>
      <c r="D155" t="s">
        <v>501</v>
      </c>
      <c r="E155" t="s">
        <v>502</v>
      </c>
      <c r="F155" t="s">
        <v>569</v>
      </c>
      <c r="G155" t="s">
        <v>1490</v>
      </c>
      <c r="H155" t="s">
        <v>1489</v>
      </c>
      <c r="I155" t="s">
        <v>1430</v>
      </c>
      <c r="J155" t="s">
        <v>569</v>
      </c>
      <c r="K155" t="s">
        <v>569</v>
      </c>
      <c r="L155" t="s">
        <v>569</v>
      </c>
      <c r="M155" t="s">
        <v>569</v>
      </c>
      <c r="N155" t="s">
        <v>569</v>
      </c>
      <c r="O155" t="s">
        <v>569</v>
      </c>
      <c r="P155" t="s">
        <v>569</v>
      </c>
      <c r="Q155" t="s">
        <v>569</v>
      </c>
      <c r="R155" t="s">
        <v>569</v>
      </c>
      <c r="S155" t="s">
        <v>569</v>
      </c>
      <c r="T155" t="s">
        <v>569</v>
      </c>
      <c r="U155" t="s">
        <v>569</v>
      </c>
      <c r="V155" t="s">
        <v>569</v>
      </c>
      <c r="W155" t="s">
        <v>569</v>
      </c>
      <c r="X155" t="s">
        <v>569</v>
      </c>
      <c r="Y155" t="s">
        <v>569</v>
      </c>
      <c r="Z155" t="s">
        <v>569</v>
      </c>
      <c r="AA155" t="s">
        <v>569</v>
      </c>
      <c r="AB155">
        <v>500</v>
      </c>
      <c r="AC15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6" spans="1:29" x14ac:dyDescent="0.25">
      <c r="A156" t="s">
        <v>569</v>
      </c>
      <c r="B156" t="s">
        <v>569</v>
      </c>
      <c r="C156" t="s">
        <v>504</v>
      </c>
      <c r="D156" t="s">
        <v>501</v>
      </c>
      <c r="E156" t="s">
        <v>502</v>
      </c>
      <c r="F156" t="s">
        <v>569</v>
      </c>
      <c r="G156" t="s">
        <v>1490</v>
      </c>
      <c r="H156" t="s">
        <v>1489</v>
      </c>
      <c r="I156" t="s">
        <v>1030</v>
      </c>
      <c r="J156" t="s">
        <v>569</v>
      </c>
      <c r="K156" t="s">
        <v>569</v>
      </c>
      <c r="L156" t="s">
        <v>569</v>
      </c>
      <c r="M156" t="s">
        <v>569</v>
      </c>
      <c r="N156" t="s">
        <v>569</v>
      </c>
      <c r="O156" t="s">
        <v>569</v>
      </c>
      <c r="P156" t="s">
        <v>569</v>
      </c>
      <c r="Q156" t="s">
        <v>569</v>
      </c>
      <c r="R156" t="s">
        <v>569</v>
      </c>
      <c r="S156" t="s">
        <v>569</v>
      </c>
      <c r="T156" t="s">
        <v>569</v>
      </c>
      <c r="U156" t="s">
        <v>569</v>
      </c>
      <c r="V156" t="s">
        <v>569</v>
      </c>
      <c r="W156" t="s">
        <v>569</v>
      </c>
      <c r="X156" t="s">
        <v>569</v>
      </c>
      <c r="Y156" t="s">
        <v>569</v>
      </c>
      <c r="Z156" t="s">
        <v>569</v>
      </c>
      <c r="AA156" t="s">
        <v>569</v>
      </c>
      <c r="AB156">
        <v>500</v>
      </c>
      <c r="AC15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7" spans="1:29" x14ac:dyDescent="0.25">
      <c r="A157" t="s">
        <v>569</v>
      </c>
      <c r="B157" t="s">
        <v>569</v>
      </c>
      <c r="C157" t="s">
        <v>504</v>
      </c>
      <c r="D157" t="s">
        <v>501</v>
      </c>
      <c r="E157" t="s">
        <v>502</v>
      </c>
      <c r="F157" t="s">
        <v>569</v>
      </c>
      <c r="G157" t="s">
        <v>1490</v>
      </c>
      <c r="H157" t="s">
        <v>626</v>
      </c>
      <c r="I157" t="s">
        <v>1030</v>
      </c>
      <c r="J157" t="s">
        <v>569</v>
      </c>
      <c r="K157" t="s">
        <v>569</v>
      </c>
      <c r="L157" t="s">
        <v>569</v>
      </c>
      <c r="M157" t="s">
        <v>569</v>
      </c>
      <c r="N157" t="s">
        <v>569</v>
      </c>
      <c r="O157" t="s">
        <v>569</v>
      </c>
      <c r="P157" t="s">
        <v>569</v>
      </c>
      <c r="Q157" t="s">
        <v>569</v>
      </c>
      <c r="R157" t="s">
        <v>569</v>
      </c>
      <c r="S157" t="s">
        <v>569</v>
      </c>
      <c r="T157" t="s">
        <v>569</v>
      </c>
      <c r="U157" t="s">
        <v>569</v>
      </c>
      <c r="V157" t="s">
        <v>569</v>
      </c>
      <c r="W157" t="s">
        <v>569</v>
      </c>
      <c r="X157" t="s">
        <v>569</v>
      </c>
      <c r="Y157" t="s">
        <v>569</v>
      </c>
      <c r="Z157" t="s">
        <v>569</v>
      </c>
      <c r="AA157" t="s">
        <v>569</v>
      </c>
      <c r="AB157">
        <v>500</v>
      </c>
      <c r="AC15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8" spans="1:29" x14ac:dyDescent="0.25">
      <c r="A158" t="s">
        <v>569</v>
      </c>
      <c r="B158" t="s">
        <v>569</v>
      </c>
      <c r="C158" t="s">
        <v>504</v>
      </c>
      <c r="D158" t="s">
        <v>501</v>
      </c>
      <c r="E158" t="s">
        <v>502</v>
      </c>
      <c r="F158" t="s">
        <v>569</v>
      </c>
      <c r="G158" t="s">
        <v>1490</v>
      </c>
      <c r="H158" t="s">
        <v>1510</v>
      </c>
      <c r="I158" t="s">
        <v>1033</v>
      </c>
      <c r="J158" t="s">
        <v>569</v>
      </c>
      <c r="K158" t="s">
        <v>569</v>
      </c>
      <c r="L158" t="s">
        <v>569</v>
      </c>
      <c r="M158" t="s">
        <v>569</v>
      </c>
      <c r="N158" t="s">
        <v>569</v>
      </c>
      <c r="O158" t="s">
        <v>569</v>
      </c>
      <c r="P158" t="s">
        <v>569</v>
      </c>
      <c r="Q158" t="s">
        <v>569</v>
      </c>
      <c r="R158" t="s">
        <v>569</v>
      </c>
      <c r="S158" t="s">
        <v>569</v>
      </c>
      <c r="T158" t="s">
        <v>569</v>
      </c>
      <c r="U158" t="s">
        <v>569</v>
      </c>
      <c r="V158" t="s">
        <v>569</v>
      </c>
      <c r="W158" t="s">
        <v>569</v>
      </c>
      <c r="X158" t="s">
        <v>569</v>
      </c>
      <c r="Y158" t="s">
        <v>569</v>
      </c>
      <c r="Z158" t="s">
        <v>569</v>
      </c>
      <c r="AA158" t="s">
        <v>569</v>
      </c>
      <c r="AB158">
        <v>500</v>
      </c>
      <c r="AC15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59" spans="1:29" x14ac:dyDescent="0.25">
      <c r="A159" t="s">
        <v>569</v>
      </c>
      <c r="B159" t="s">
        <v>569</v>
      </c>
      <c r="C159" t="s">
        <v>504</v>
      </c>
      <c r="D159" t="s">
        <v>501</v>
      </c>
      <c r="E159" t="s">
        <v>502</v>
      </c>
      <c r="F159" t="s">
        <v>569</v>
      </c>
      <c r="G159" t="s">
        <v>1490</v>
      </c>
      <c r="H159" t="s">
        <v>1511</v>
      </c>
      <c r="I159" t="s">
        <v>1030</v>
      </c>
      <c r="J159" t="s">
        <v>569</v>
      </c>
      <c r="K159" t="s">
        <v>569</v>
      </c>
      <c r="L159" t="s">
        <v>569</v>
      </c>
      <c r="M159" t="s">
        <v>569</v>
      </c>
      <c r="N159" t="s">
        <v>569</v>
      </c>
      <c r="O159" t="s">
        <v>569</v>
      </c>
      <c r="P159" t="s">
        <v>569</v>
      </c>
      <c r="Q159" t="s">
        <v>569</v>
      </c>
      <c r="R159" t="s">
        <v>569</v>
      </c>
      <c r="S159" t="s">
        <v>569</v>
      </c>
      <c r="T159" t="s">
        <v>569</v>
      </c>
      <c r="U159" t="s">
        <v>569</v>
      </c>
      <c r="V159" t="s">
        <v>569</v>
      </c>
      <c r="W159" t="s">
        <v>569</v>
      </c>
      <c r="X159" t="s">
        <v>569</v>
      </c>
      <c r="Y159" t="s">
        <v>569</v>
      </c>
      <c r="Z159" t="s">
        <v>569</v>
      </c>
      <c r="AA159" t="s">
        <v>569</v>
      </c>
      <c r="AB159">
        <v>500</v>
      </c>
      <c r="AC15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0" spans="1:29" x14ac:dyDescent="0.25">
      <c r="A160" t="s">
        <v>569</v>
      </c>
      <c r="B160" t="s">
        <v>569</v>
      </c>
      <c r="C160" t="s">
        <v>504</v>
      </c>
      <c r="D160" t="s">
        <v>501</v>
      </c>
      <c r="E160" t="s">
        <v>502</v>
      </c>
      <c r="F160" t="s">
        <v>569</v>
      </c>
      <c r="G160" t="s">
        <v>1490</v>
      </c>
      <c r="H160" t="s">
        <v>1512</v>
      </c>
      <c r="I160" t="s">
        <v>1027</v>
      </c>
      <c r="J160" t="s">
        <v>569</v>
      </c>
      <c r="K160" t="s">
        <v>569</v>
      </c>
      <c r="L160" t="s">
        <v>569</v>
      </c>
      <c r="M160" t="s">
        <v>569</v>
      </c>
      <c r="N160" t="s">
        <v>569</v>
      </c>
      <c r="O160" t="s">
        <v>569</v>
      </c>
      <c r="P160" t="s">
        <v>569</v>
      </c>
      <c r="Q160" t="s">
        <v>569</v>
      </c>
      <c r="R160" t="s">
        <v>569</v>
      </c>
      <c r="S160" t="s">
        <v>569</v>
      </c>
      <c r="T160" t="s">
        <v>569</v>
      </c>
      <c r="U160" t="s">
        <v>569</v>
      </c>
      <c r="V160" t="s">
        <v>569</v>
      </c>
      <c r="W160" t="s">
        <v>569</v>
      </c>
      <c r="X160" t="s">
        <v>569</v>
      </c>
      <c r="Y160" t="s">
        <v>569</v>
      </c>
      <c r="Z160" t="s">
        <v>569</v>
      </c>
      <c r="AA160" t="s">
        <v>569</v>
      </c>
      <c r="AB160">
        <v>500</v>
      </c>
      <c r="AC16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1" spans="1:29" x14ac:dyDescent="0.25">
      <c r="A161" t="s">
        <v>569</v>
      </c>
      <c r="B161" t="s">
        <v>569</v>
      </c>
      <c r="C161" t="s">
        <v>504</v>
      </c>
      <c r="D161" t="s">
        <v>501</v>
      </c>
      <c r="E161" t="s">
        <v>502</v>
      </c>
      <c r="F161" t="s">
        <v>569</v>
      </c>
      <c r="G161" t="s">
        <v>1490</v>
      </c>
      <c r="H161" t="s">
        <v>1513</v>
      </c>
      <c r="I161" t="s">
        <v>1430</v>
      </c>
      <c r="J161" t="s">
        <v>569</v>
      </c>
      <c r="K161" t="s">
        <v>569</v>
      </c>
      <c r="L161" t="s">
        <v>569</v>
      </c>
      <c r="M161" t="s">
        <v>569</v>
      </c>
      <c r="N161" t="s">
        <v>569</v>
      </c>
      <c r="O161" t="s">
        <v>569</v>
      </c>
      <c r="P161" t="s">
        <v>569</v>
      </c>
      <c r="Q161" t="s">
        <v>569</v>
      </c>
      <c r="R161" t="s">
        <v>569</v>
      </c>
      <c r="S161" t="s">
        <v>569</v>
      </c>
      <c r="T161" t="s">
        <v>569</v>
      </c>
      <c r="U161" t="s">
        <v>569</v>
      </c>
      <c r="V161" t="s">
        <v>569</v>
      </c>
      <c r="W161" t="s">
        <v>569</v>
      </c>
      <c r="X161" t="s">
        <v>569</v>
      </c>
      <c r="Y161" t="s">
        <v>569</v>
      </c>
      <c r="Z161" t="s">
        <v>569</v>
      </c>
      <c r="AA161" t="s">
        <v>569</v>
      </c>
      <c r="AB161">
        <v>500</v>
      </c>
      <c r="AC16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2" spans="1:29" x14ac:dyDescent="0.25">
      <c r="A162" t="s">
        <v>569</v>
      </c>
      <c r="B162" t="s">
        <v>569</v>
      </c>
      <c r="C162" t="s">
        <v>504</v>
      </c>
      <c r="D162" t="s">
        <v>501</v>
      </c>
      <c r="E162" t="s">
        <v>502</v>
      </c>
      <c r="F162" t="s">
        <v>569</v>
      </c>
      <c r="G162" t="s">
        <v>1514</v>
      </c>
      <c r="H162" t="s">
        <v>638</v>
      </c>
      <c r="I162" t="s">
        <v>1515</v>
      </c>
      <c r="J162" t="s">
        <v>569</v>
      </c>
      <c r="K162" t="s">
        <v>569</v>
      </c>
      <c r="L162" t="s">
        <v>569</v>
      </c>
      <c r="M162" t="s">
        <v>569</v>
      </c>
      <c r="N162" t="s">
        <v>569</v>
      </c>
      <c r="O162" t="s">
        <v>569</v>
      </c>
      <c r="P162" t="s">
        <v>569</v>
      </c>
      <c r="Q162" t="s">
        <v>569</v>
      </c>
      <c r="R162" t="s">
        <v>569</v>
      </c>
      <c r="S162" t="s">
        <v>569</v>
      </c>
      <c r="T162" t="s">
        <v>569</v>
      </c>
      <c r="U162" t="s">
        <v>569</v>
      </c>
      <c r="V162" t="s">
        <v>569</v>
      </c>
      <c r="W162" t="s">
        <v>569</v>
      </c>
      <c r="X162" t="s">
        <v>569</v>
      </c>
      <c r="Y162" t="s">
        <v>569</v>
      </c>
      <c r="Z162" t="s">
        <v>569</v>
      </c>
      <c r="AA162" t="s">
        <v>569</v>
      </c>
      <c r="AB162">
        <v>500</v>
      </c>
      <c r="AC16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3" spans="1:29" x14ac:dyDescent="0.25">
      <c r="A163" t="s">
        <v>569</v>
      </c>
      <c r="B163" t="s">
        <v>569</v>
      </c>
      <c r="C163" t="s">
        <v>504</v>
      </c>
      <c r="D163" t="s">
        <v>501</v>
      </c>
      <c r="E163" t="s">
        <v>502</v>
      </c>
      <c r="F163" t="s">
        <v>569</v>
      </c>
      <c r="G163" t="s">
        <v>1490</v>
      </c>
      <c r="H163" t="s">
        <v>1516</v>
      </c>
      <c r="I163" t="s">
        <v>1030</v>
      </c>
      <c r="J163" t="s">
        <v>569</v>
      </c>
      <c r="K163" t="s">
        <v>569</v>
      </c>
      <c r="L163" t="s">
        <v>569</v>
      </c>
      <c r="M163" t="s">
        <v>569</v>
      </c>
      <c r="N163" t="s">
        <v>569</v>
      </c>
      <c r="O163" t="s">
        <v>569</v>
      </c>
      <c r="P163" t="s">
        <v>569</v>
      </c>
      <c r="Q163" t="s">
        <v>569</v>
      </c>
      <c r="R163" t="s">
        <v>569</v>
      </c>
      <c r="S163" t="s">
        <v>569</v>
      </c>
      <c r="T163" t="s">
        <v>569</v>
      </c>
      <c r="U163" t="s">
        <v>569</v>
      </c>
      <c r="V163" t="s">
        <v>569</v>
      </c>
      <c r="W163" t="s">
        <v>569</v>
      </c>
      <c r="X163" t="s">
        <v>569</v>
      </c>
      <c r="Y163" t="s">
        <v>569</v>
      </c>
      <c r="Z163" t="s">
        <v>569</v>
      </c>
      <c r="AA163" t="s">
        <v>569</v>
      </c>
      <c r="AB163">
        <v>500</v>
      </c>
      <c r="AC16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4" spans="1:29" x14ac:dyDescent="0.25">
      <c r="A164" t="s">
        <v>569</v>
      </c>
      <c r="B164" t="s">
        <v>569</v>
      </c>
      <c r="C164" t="s">
        <v>504</v>
      </c>
      <c r="D164" t="s">
        <v>501</v>
      </c>
      <c r="E164" t="s">
        <v>502</v>
      </c>
      <c r="F164" t="s">
        <v>569</v>
      </c>
      <c r="G164" t="s">
        <v>1490</v>
      </c>
      <c r="H164" t="s">
        <v>1517</v>
      </c>
      <c r="I164" t="s">
        <v>1030</v>
      </c>
      <c r="J164" t="s">
        <v>569</v>
      </c>
      <c r="K164" t="s">
        <v>569</v>
      </c>
      <c r="L164" t="s">
        <v>569</v>
      </c>
      <c r="M164" t="s">
        <v>569</v>
      </c>
      <c r="N164" t="s">
        <v>569</v>
      </c>
      <c r="O164" t="s">
        <v>569</v>
      </c>
      <c r="P164" t="s">
        <v>569</v>
      </c>
      <c r="Q164" t="s">
        <v>569</v>
      </c>
      <c r="R164" t="s">
        <v>569</v>
      </c>
      <c r="S164" t="s">
        <v>569</v>
      </c>
      <c r="T164" t="s">
        <v>569</v>
      </c>
      <c r="U164" t="s">
        <v>569</v>
      </c>
      <c r="V164" t="s">
        <v>569</v>
      </c>
      <c r="W164" t="s">
        <v>569</v>
      </c>
      <c r="X164" t="s">
        <v>569</v>
      </c>
      <c r="Y164" t="s">
        <v>569</v>
      </c>
      <c r="Z164" t="s">
        <v>569</v>
      </c>
      <c r="AA164" t="s">
        <v>569</v>
      </c>
      <c r="AB164">
        <v>500</v>
      </c>
      <c r="AC16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5" spans="1:29" x14ac:dyDescent="0.25">
      <c r="A165" t="s">
        <v>569</v>
      </c>
      <c r="B165" t="s">
        <v>569</v>
      </c>
      <c r="C165" t="s">
        <v>504</v>
      </c>
      <c r="D165" t="s">
        <v>501</v>
      </c>
      <c r="E165" t="s">
        <v>502</v>
      </c>
      <c r="F165" t="s">
        <v>569</v>
      </c>
      <c r="G165" t="s">
        <v>1490</v>
      </c>
      <c r="H165" t="s">
        <v>1518</v>
      </c>
      <c r="I165" t="s">
        <v>1030</v>
      </c>
      <c r="J165" t="s">
        <v>569</v>
      </c>
      <c r="K165" t="s">
        <v>569</v>
      </c>
      <c r="L165" t="s">
        <v>569</v>
      </c>
      <c r="M165" t="s">
        <v>569</v>
      </c>
      <c r="N165" t="s">
        <v>569</v>
      </c>
      <c r="O165" t="s">
        <v>569</v>
      </c>
      <c r="P165" t="s">
        <v>569</v>
      </c>
      <c r="Q165" t="s">
        <v>569</v>
      </c>
      <c r="R165" t="s">
        <v>569</v>
      </c>
      <c r="S165" t="s">
        <v>569</v>
      </c>
      <c r="T165" t="s">
        <v>569</v>
      </c>
      <c r="U165" t="s">
        <v>569</v>
      </c>
      <c r="V165" t="s">
        <v>569</v>
      </c>
      <c r="W165" t="s">
        <v>569</v>
      </c>
      <c r="X165" t="s">
        <v>569</v>
      </c>
      <c r="Y165" t="s">
        <v>569</v>
      </c>
      <c r="Z165" t="s">
        <v>569</v>
      </c>
      <c r="AA165" t="s">
        <v>569</v>
      </c>
      <c r="AB165">
        <v>500</v>
      </c>
      <c r="AC16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6" spans="1:29" x14ac:dyDescent="0.25">
      <c r="A166" t="s">
        <v>569</v>
      </c>
      <c r="B166" t="s">
        <v>569</v>
      </c>
      <c r="C166" t="s">
        <v>504</v>
      </c>
      <c r="D166" t="s">
        <v>501</v>
      </c>
      <c r="E166" t="s">
        <v>502</v>
      </c>
      <c r="F166" t="s">
        <v>569</v>
      </c>
      <c r="G166" t="s">
        <v>1490</v>
      </c>
      <c r="H166" t="s">
        <v>1534</v>
      </c>
      <c r="I166" t="s">
        <v>1533</v>
      </c>
      <c r="J166" t="s">
        <v>569</v>
      </c>
      <c r="K166" t="s">
        <v>569</v>
      </c>
      <c r="L166" t="s">
        <v>569</v>
      </c>
      <c r="M166" t="s">
        <v>569</v>
      </c>
      <c r="N166" t="s">
        <v>569</v>
      </c>
      <c r="O166" t="s">
        <v>569</v>
      </c>
      <c r="P166" t="s">
        <v>569</v>
      </c>
      <c r="Q166" t="s">
        <v>569</v>
      </c>
      <c r="R166" t="s">
        <v>569</v>
      </c>
      <c r="S166" t="s">
        <v>569</v>
      </c>
      <c r="T166" t="s">
        <v>569</v>
      </c>
      <c r="U166" t="s">
        <v>569</v>
      </c>
      <c r="V166" t="s">
        <v>569</v>
      </c>
      <c r="W166" t="s">
        <v>569</v>
      </c>
      <c r="X166" t="s">
        <v>569</v>
      </c>
      <c r="Y166" t="s">
        <v>569</v>
      </c>
      <c r="Z166" t="s">
        <v>569</v>
      </c>
      <c r="AA166" t="s">
        <v>569</v>
      </c>
      <c r="AB166">
        <v>500</v>
      </c>
      <c r="AC16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7" spans="1:29" x14ac:dyDescent="0.25">
      <c r="A167" t="s">
        <v>569</v>
      </c>
      <c r="B167" t="s">
        <v>569</v>
      </c>
      <c r="C167" t="s">
        <v>504</v>
      </c>
      <c r="D167" t="s">
        <v>501</v>
      </c>
      <c r="E167" t="s">
        <v>502</v>
      </c>
      <c r="F167" t="s">
        <v>569</v>
      </c>
      <c r="G167" t="s">
        <v>1490</v>
      </c>
      <c r="H167" t="s">
        <v>1535</v>
      </c>
      <c r="I167" t="s">
        <v>1030</v>
      </c>
      <c r="J167" t="s">
        <v>569</v>
      </c>
      <c r="K167" t="s">
        <v>569</v>
      </c>
      <c r="L167" t="s">
        <v>569</v>
      </c>
      <c r="M167" t="s">
        <v>569</v>
      </c>
      <c r="N167" t="s">
        <v>569</v>
      </c>
      <c r="O167" t="s">
        <v>569</v>
      </c>
      <c r="P167" t="s">
        <v>569</v>
      </c>
      <c r="Q167" t="s">
        <v>569</v>
      </c>
      <c r="R167" t="s">
        <v>569</v>
      </c>
      <c r="S167" t="s">
        <v>569</v>
      </c>
      <c r="T167" t="s">
        <v>569</v>
      </c>
      <c r="U167" t="s">
        <v>569</v>
      </c>
      <c r="V167" t="s">
        <v>569</v>
      </c>
      <c r="W167" t="s">
        <v>569</v>
      </c>
      <c r="X167" t="s">
        <v>569</v>
      </c>
      <c r="Y167" t="s">
        <v>569</v>
      </c>
      <c r="Z167" t="s">
        <v>569</v>
      </c>
      <c r="AA167" t="s">
        <v>569</v>
      </c>
      <c r="AB167">
        <v>500</v>
      </c>
      <c r="AC16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8" spans="1:29" x14ac:dyDescent="0.25">
      <c r="A168" t="s">
        <v>569</v>
      </c>
      <c r="B168" t="s">
        <v>545</v>
      </c>
      <c r="C168" t="s">
        <v>504</v>
      </c>
      <c r="D168" t="s">
        <v>501</v>
      </c>
      <c r="E168" t="s">
        <v>502</v>
      </c>
      <c r="F168" t="s">
        <v>569</v>
      </c>
      <c r="G168" t="s">
        <v>1490</v>
      </c>
      <c r="H168" t="s">
        <v>1536</v>
      </c>
      <c r="I168" t="s">
        <v>1027</v>
      </c>
      <c r="J168" t="s">
        <v>569</v>
      </c>
      <c r="K168" t="s">
        <v>569</v>
      </c>
      <c r="L168" t="s">
        <v>569</v>
      </c>
      <c r="M168" t="s">
        <v>569</v>
      </c>
      <c r="N168" t="s">
        <v>569</v>
      </c>
      <c r="O168" t="s">
        <v>569</v>
      </c>
      <c r="P168" t="s">
        <v>569</v>
      </c>
      <c r="Q168" t="s">
        <v>569</v>
      </c>
      <c r="R168" t="s">
        <v>569</v>
      </c>
      <c r="S168" t="s">
        <v>569</v>
      </c>
      <c r="T168" t="s">
        <v>569</v>
      </c>
      <c r="U168" t="s">
        <v>569</v>
      </c>
      <c r="V168" t="s">
        <v>569</v>
      </c>
      <c r="W168" t="s">
        <v>569</v>
      </c>
      <c r="X168" t="s">
        <v>569</v>
      </c>
      <c r="Y168" t="s">
        <v>569</v>
      </c>
      <c r="Z168" t="s">
        <v>569</v>
      </c>
      <c r="AA168" t="s">
        <v>569</v>
      </c>
      <c r="AB168">
        <v>500</v>
      </c>
      <c r="AC16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69" spans="1:29" x14ac:dyDescent="0.25">
      <c r="A169" t="s">
        <v>569</v>
      </c>
      <c r="B169" t="s">
        <v>569</v>
      </c>
      <c r="C169" t="s">
        <v>504</v>
      </c>
      <c r="D169" t="s">
        <v>501</v>
      </c>
      <c r="E169" t="s">
        <v>502</v>
      </c>
      <c r="F169" t="s">
        <v>569</v>
      </c>
      <c r="G169" t="s">
        <v>1490</v>
      </c>
      <c r="H169" t="s">
        <v>1539</v>
      </c>
      <c r="I169" t="s">
        <v>1186</v>
      </c>
      <c r="J169" t="s">
        <v>569</v>
      </c>
      <c r="K169" t="s">
        <v>569</v>
      </c>
      <c r="L169" t="s">
        <v>569</v>
      </c>
      <c r="M169" t="s">
        <v>569</v>
      </c>
      <c r="N169" t="s">
        <v>569</v>
      </c>
      <c r="O169" t="s">
        <v>569</v>
      </c>
      <c r="P169" t="s">
        <v>569</v>
      </c>
      <c r="Q169" t="s">
        <v>569</v>
      </c>
      <c r="R169" t="s">
        <v>569</v>
      </c>
      <c r="S169" t="s">
        <v>569</v>
      </c>
      <c r="T169" t="s">
        <v>569</v>
      </c>
      <c r="U169" t="s">
        <v>569</v>
      </c>
      <c r="V169" t="s">
        <v>569</v>
      </c>
      <c r="W169" t="s">
        <v>569</v>
      </c>
      <c r="X169" t="s">
        <v>569</v>
      </c>
      <c r="Y169" t="s">
        <v>569</v>
      </c>
      <c r="Z169" t="s">
        <v>569</v>
      </c>
      <c r="AA169" t="s">
        <v>569</v>
      </c>
      <c r="AB169">
        <v>500</v>
      </c>
      <c r="AC16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0" spans="1:29" x14ac:dyDescent="0.25">
      <c r="A170" t="s">
        <v>569</v>
      </c>
      <c r="B170" t="s">
        <v>569</v>
      </c>
      <c r="C170" t="s">
        <v>504</v>
      </c>
      <c r="D170" t="s">
        <v>501</v>
      </c>
      <c r="E170" t="s">
        <v>502</v>
      </c>
      <c r="F170" t="s">
        <v>569</v>
      </c>
      <c r="G170" t="s">
        <v>1490</v>
      </c>
      <c r="H170" t="s">
        <v>879</v>
      </c>
      <c r="I170" t="s">
        <v>1533</v>
      </c>
      <c r="J170" t="s">
        <v>569</v>
      </c>
      <c r="K170" t="s">
        <v>569</v>
      </c>
      <c r="L170" t="s">
        <v>569</v>
      </c>
      <c r="M170" t="s">
        <v>569</v>
      </c>
      <c r="N170" t="s">
        <v>569</v>
      </c>
      <c r="O170" t="s">
        <v>569</v>
      </c>
      <c r="P170" t="s">
        <v>569</v>
      </c>
      <c r="Q170" t="s">
        <v>569</v>
      </c>
      <c r="R170" t="s">
        <v>569</v>
      </c>
      <c r="S170" t="s">
        <v>569</v>
      </c>
      <c r="T170" t="s">
        <v>569</v>
      </c>
      <c r="U170" t="s">
        <v>569</v>
      </c>
      <c r="V170" t="s">
        <v>569</v>
      </c>
      <c r="W170" t="s">
        <v>569</v>
      </c>
      <c r="X170" t="s">
        <v>569</v>
      </c>
      <c r="Y170" t="s">
        <v>569</v>
      </c>
      <c r="Z170" t="s">
        <v>569</v>
      </c>
      <c r="AA170" t="s">
        <v>569</v>
      </c>
      <c r="AB170">
        <v>500</v>
      </c>
      <c r="AC17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1" spans="1:29" x14ac:dyDescent="0.25">
      <c r="A171" t="s">
        <v>569</v>
      </c>
      <c r="B171" t="s">
        <v>557</v>
      </c>
      <c r="C171" t="s">
        <v>504</v>
      </c>
      <c r="D171" t="s">
        <v>501</v>
      </c>
      <c r="E171" t="s">
        <v>502</v>
      </c>
      <c r="F171" t="s">
        <v>569</v>
      </c>
      <c r="G171" t="s">
        <v>1540</v>
      </c>
      <c r="H171" t="s">
        <v>1542</v>
      </c>
      <c r="I171" t="s">
        <v>1541</v>
      </c>
      <c r="J171" t="s">
        <v>569</v>
      </c>
      <c r="K171" t="s">
        <v>569</v>
      </c>
      <c r="L171" t="s">
        <v>569</v>
      </c>
      <c r="M171" t="s">
        <v>569</v>
      </c>
      <c r="N171" t="s">
        <v>569</v>
      </c>
      <c r="O171" t="s">
        <v>569</v>
      </c>
      <c r="P171" t="s">
        <v>569</v>
      </c>
      <c r="Q171" t="s">
        <v>569</v>
      </c>
      <c r="R171" t="s">
        <v>569</v>
      </c>
      <c r="S171" t="s">
        <v>569</v>
      </c>
      <c r="T171" t="s">
        <v>569</v>
      </c>
      <c r="U171" t="s">
        <v>569</v>
      </c>
      <c r="V171" t="s">
        <v>569</v>
      </c>
      <c r="W171" t="s">
        <v>569</v>
      </c>
      <c r="X171" t="s">
        <v>569</v>
      </c>
      <c r="Y171" t="s">
        <v>569</v>
      </c>
      <c r="Z171" t="s">
        <v>569</v>
      </c>
      <c r="AA171" t="s">
        <v>569</v>
      </c>
      <c r="AB171">
        <v>500</v>
      </c>
      <c r="AC17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2" spans="1:29" x14ac:dyDescent="0.25">
      <c r="A172" t="s">
        <v>569</v>
      </c>
      <c r="B172" t="s">
        <v>569</v>
      </c>
      <c r="C172" t="s">
        <v>1543</v>
      </c>
      <c r="D172" t="s">
        <v>680</v>
      </c>
      <c r="E172" t="s">
        <v>681</v>
      </c>
      <c r="F172" t="s">
        <v>569</v>
      </c>
      <c r="G172" t="s">
        <v>1530</v>
      </c>
      <c r="H172" t="s">
        <v>1532</v>
      </c>
      <c r="I172" t="s">
        <v>1531</v>
      </c>
      <c r="J172" t="s">
        <v>569</v>
      </c>
      <c r="K172" t="s">
        <v>569</v>
      </c>
      <c r="L172" t="s">
        <v>569</v>
      </c>
      <c r="M172" t="s">
        <v>569</v>
      </c>
      <c r="N172" t="s">
        <v>569</v>
      </c>
      <c r="O172" t="s">
        <v>569</v>
      </c>
      <c r="P172" t="s">
        <v>569</v>
      </c>
      <c r="Q172" t="s">
        <v>569</v>
      </c>
      <c r="R172" t="s">
        <v>569</v>
      </c>
      <c r="S172" t="s">
        <v>569</v>
      </c>
      <c r="T172" t="s">
        <v>569</v>
      </c>
      <c r="U172" t="s">
        <v>569</v>
      </c>
      <c r="V172" t="s">
        <v>569</v>
      </c>
      <c r="W172" t="s">
        <v>569</v>
      </c>
      <c r="X172" t="s">
        <v>569</v>
      </c>
      <c r="Y172" t="s">
        <v>569</v>
      </c>
      <c r="Z172" t="s">
        <v>569</v>
      </c>
      <c r="AA172" t="s">
        <v>569</v>
      </c>
      <c r="AB172">
        <v>500</v>
      </c>
      <c r="AC17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3" spans="1:29" x14ac:dyDescent="0.25">
      <c r="A173" t="s">
        <v>569</v>
      </c>
      <c r="B173" t="s">
        <v>569</v>
      </c>
      <c r="C173" t="s">
        <v>504</v>
      </c>
      <c r="D173" t="s">
        <v>501</v>
      </c>
      <c r="E173" t="s">
        <v>502</v>
      </c>
      <c r="F173" t="s">
        <v>569</v>
      </c>
      <c r="G173" t="s">
        <v>1490</v>
      </c>
      <c r="H173" t="s">
        <v>1489</v>
      </c>
      <c r="I173" t="s">
        <v>1028</v>
      </c>
      <c r="J173" t="s">
        <v>569</v>
      </c>
      <c r="K173" t="s">
        <v>569</v>
      </c>
      <c r="L173" t="s">
        <v>569</v>
      </c>
      <c r="M173" t="s">
        <v>569</v>
      </c>
      <c r="N173" t="s">
        <v>569</v>
      </c>
      <c r="O173" t="s">
        <v>569</v>
      </c>
      <c r="P173" t="s">
        <v>569</v>
      </c>
      <c r="Q173" t="s">
        <v>569</v>
      </c>
      <c r="R173">
        <v>49.346191886203499</v>
      </c>
      <c r="S173" t="s">
        <v>1213</v>
      </c>
      <c r="T173">
        <v>-124.706833835222</v>
      </c>
      <c r="U173" t="s">
        <v>1206</v>
      </c>
      <c r="V173" t="s">
        <v>569</v>
      </c>
      <c r="W173" t="s">
        <v>569</v>
      </c>
      <c r="X173" t="s">
        <v>569</v>
      </c>
      <c r="Y173" t="s">
        <v>569</v>
      </c>
      <c r="Z173" t="s">
        <v>569</v>
      </c>
      <c r="AA173" t="s">
        <v>569</v>
      </c>
      <c r="AB173">
        <v>500</v>
      </c>
      <c r="AC17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4" spans="1:29" x14ac:dyDescent="0.25">
      <c r="A174" t="s">
        <v>577</v>
      </c>
      <c r="B174" t="s">
        <v>505</v>
      </c>
      <c r="C174" t="s">
        <v>504</v>
      </c>
      <c r="D174" t="s">
        <v>501</v>
      </c>
      <c r="E174" t="s">
        <v>502</v>
      </c>
      <c r="F174" t="s">
        <v>569</v>
      </c>
      <c r="G174" t="s">
        <v>569</v>
      </c>
      <c r="H174" t="s">
        <v>569</v>
      </c>
      <c r="I174" t="s">
        <v>569</v>
      </c>
      <c r="J174" t="s">
        <v>569</v>
      </c>
      <c r="K174">
        <v>0</v>
      </c>
      <c r="L174" t="s">
        <v>569</v>
      </c>
      <c r="M174" t="s">
        <v>569</v>
      </c>
      <c r="N174" t="s">
        <v>569</v>
      </c>
      <c r="O174" t="s">
        <v>569</v>
      </c>
      <c r="P174" t="s">
        <v>569</v>
      </c>
      <c r="Q174" t="s">
        <v>569</v>
      </c>
      <c r="R174">
        <v>48.423980229999998</v>
      </c>
      <c r="S174" t="s">
        <v>1213</v>
      </c>
      <c r="T174">
        <v>-123.3644539</v>
      </c>
      <c r="U174" t="s">
        <v>1206</v>
      </c>
      <c r="V174" t="s">
        <v>569</v>
      </c>
      <c r="W174" t="s">
        <v>569</v>
      </c>
      <c r="X174" t="s">
        <v>569</v>
      </c>
      <c r="Y174" t="s">
        <v>569</v>
      </c>
      <c r="Z174" t="s">
        <v>569</v>
      </c>
      <c r="AA174" t="s">
        <v>1229</v>
      </c>
      <c r="AB174">
        <v>50</v>
      </c>
      <c r="AC17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5" spans="1:29" x14ac:dyDescent="0.25">
      <c r="A175" t="s">
        <v>1413</v>
      </c>
      <c r="B175" t="s">
        <v>505</v>
      </c>
      <c r="C175" t="s">
        <v>504</v>
      </c>
      <c r="D175" t="s">
        <v>501</v>
      </c>
      <c r="E175" t="s">
        <v>502</v>
      </c>
      <c r="F175" t="s">
        <v>569</v>
      </c>
      <c r="G175" t="s">
        <v>569</v>
      </c>
      <c r="H175" t="s">
        <v>569</v>
      </c>
      <c r="I175" t="s">
        <v>569</v>
      </c>
      <c r="J175" t="s">
        <v>569</v>
      </c>
      <c r="K175" t="s">
        <v>569</v>
      </c>
      <c r="L175" t="s">
        <v>569</v>
      </c>
      <c r="M175" t="s">
        <v>569</v>
      </c>
      <c r="N175" t="s">
        <v>569</v>
      </c>
      <c r="O175" t="s">
        <v>569</v>
      </c>
      <c r="P175" t="s">
        <v>569</v>
      </c>
      <c r="Q175" t="s">
        <v>569</v>
      </c>
      <c r="R175" t="s">
        <v>569</v>
      </c>
      <c r="S175" t="s">
        <v>569</v>
      </c>
      <c r="T175" t="s">
        <v>569</v>
      </c>
      <c r="U175" t="s">
        <v>569</v>
      </c>
      <c r="V175" t="s">
        <v>569</v>
      </c>
      <c r="W175" t="s">
        <v>569</v>
      </c>
      <c r="X175" t="s">
        <v>569</v>
      </c>
      <c r="Y175" t="s">
        <v>569</v>
      </c>
      <c r="Z175" t="s">
        <v>569</v>
      </c>
      <c r="AA175" t="s">
        <v>569</v>
      </c>
      <c r="AB175">
        <v>50</v>
      </c>
      <c r="AC17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6" spans="1:29" x14ac:dyDescent="0.25">
      <c r="A176" t="s">
        <v>1350</v>
      </c>
      <c r="B176" t="s">
        <v>835</v>
      </c>
      <c r="C176" t="s">
        <v>504</v>
      </c>
      <c r="D176" t="s">
        <v>501</v>
      </c>
      <c r="E176" t="s">
        <v>502</v>
      </c>
      <c r="F176" t="s">
        <v>569</v>
      </c>
      <c r="G176" t="s">
        <v>569</v>
      </c>
      <c r="H176" t="s">
        <v>569</v>
      </c>
      <c r="I176" t="s">
        <v>569</v>
      </c>
      <c r="J176" t="s">
        <v>569</v>
      </c>
      <c r="K176" t="s">
        <v>569</v>
      </c>
      <c r="L176" t="s">
        <v>569</v>
      </c>
      <c r="M176" t="s">
        <v>569</v>
      </c>
      <c r="N176" t="s">
        <v>569</v>
      </c>
      <c r="O176" t="s">
        <v>569</v>
      </c>
      <c r="P176" t="s">
        <v>569</v>
      </c>
      <c r="Q176" t="s">
        <v>569</v>
      </c>
      <c r="R176" t="s">
        <v>569</v>
      </c>
      <c r="S176" t="s">
        <v>569</v>
      </c>
      <c r="T176" t="s">
        <v>569</v>
      </c>
      <c r="U176" t="s">
        <v>569</v>
      </c>
      <c r="V176" t="s">
        <v>569</v>
      </c>
      <c r="W176" t="s">
        <v>569</v>
      </c>
      <c r="X176" t="s">
        <v>569</v>
      </c>
      <c r="Y176" t="s">
        <v>569</v>
      </c>
      <c r="Z176" t="s">
        <v>569</v>
      </c>
      <c r="AA176" t="s">
        <v>569</v>
      </c>
      <c r="AB176">
        <v>50</v>
      </c>
      <c r="AC17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7" spans="1:29" x14ac:dyDescent="0.25">
      <c r="A177" t="s">
        <v>515</v>
      </c>
      <c r="B177" t="s">
        <v>505</v>
      </c>
      <c r="C177" t="s">
        <v>504</v>
      </c>
      <c r="D177" t="s">
        <v>501</v>
      </c>
      <c r="E177" t="s">
        <v>502</v>
      </c>
      <c r="F177" t="s">
        <v>569</v>
      </c>
      <c r="G177" t="s">
        <v>569</v>
      </c>
      <c r="H177" t="s">
        <v>569</v>
      </c>
      <c r="I177" t="s">
        <v>569</v>
      </c>
      <c r="J177" t="s">
        <v>569</v>
      </c>
      <c r="K177">
        <v>0</v>
      </c>
      <c r="L177" t="s">
        <v>569</v>
      </c>
      <c r="M177" t="s">
        <v>569</v>
      </c>
      <c r="N177" t="s">
        <v>569</v>
      </c>
      <c r="O177" t="s">
        <v>569</v>
      </c>
      <c r="P177" t="s">
        <v>569</v>
      </c>
      <c r="Q177" t="s">
        <v>569</v>
      </c>
      <c r="R177">
        <v>48.484766489999998</v>
      </c>
      <c r="S177" t="s">
        <v>1213</v>
      </c>
      <c r="T177">
        <v>-123.4077501</v>
      </c>
      <c r="U177" t="s">
        <v>1206</v>
      </c>
      <c r="V177" t="s">
        <v>569</v>
      </c>
      <c r="W177" t="s">
        <v>569</v>
      </c>
      <c r="X177" t="s">
        <v>569</v>
      </c>
      <c r="Y177" t="s">
        <v>569</v>
      </c>
      <c r="Z177" t="s">
        <v>569</v>
      </c>
      <c r="AA177" t="s">
        <v>1229</v>
      </c>
      <c r="AB177">
        <v>50</v>
      </c>
      <c r="AC1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8" spans="1:29" x14ac:dyDescent="0.25">
      <c r="A178" t="s">
        <v>929</v>
      </c>
      <c r="B178" t="s">
        <v>513</v>
      </c>
      <c r="C178" t="s">
        <v>504</v>
      </c>
      <c r="D178" t="s">
        <v>501</v>
      </c>
      <c r="E178" t="s">
        <v>502</v>
      </c>
      <c r="F178" t="s">
        <v>569</v>
      </c>
      <c r="G178" t="s">
        <v>569</v>
      </c>
      <c r="H178" t="s">
        <v>569</v>
      </c>
      <c r="I178" t="s">
        <v>569</v>
      </c>
      <c r="J178" t="s">
        <v>569</v>
      </c>
      <c r="K178">
        <v>0</v>
      </c>
      <c r="L178" t="s">
        <v>569</v>
      </c>
      <c r="M178" t="s">
        <v>569</v>
      </c>
      <c r="N178" t="s">
        <v>569</v>
      </c>
      <c r="O178" t="s">
        <v>569</v>
      </c>
      <c r="P178" t="s">
        <v>569</v>
      </c>
      <c r="Q178" t="s">
        <v>569</v>
      </c>
      <c r="R178">
        <v>49.290041160000001</v>
      </c>
      <c r="S178" t="s">
        <v>1213</v>
      </c>
      <c r="T178">
        <v>-123.1212956</v>
      </c>
      <c r="U178" t="s">
        <v>1206</v>
      </c>
      <c r="V178" t="s">
        <v>569</v>
      </c>
      <c r="W178" t="s">
        <v>569</v>
      </c>
      <c r="X178" t="s">
        <v>569</v>
      </c>
      <c r="Y178" t="s">
        <v>569</v>
      </c>
      <c r="Z178" t="s">
        <v>569</v>
      </c>
      <c r="AA178" t="s">
        <v>1229</v>
      </c>
      <c r="AB178">
        <v>50</v>
      </c>
      <c r="AC1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79" spans="1:29" x14ac:dyDescent="0.25">
      <c r="A179" t="s">
        <v>506</v>
      </c>
      <c r="B179" t="s">
        <v>505</v>
      </c>
      <c r="C179" t="s">
        <v>504</v>
      </c>
      <c r="D179" t="s">
        <v>501</v>
      </c>
      <c r="E179" t="s">
        <v>502</v>
      </c>
      <c r="F179" t="s">
        <v>569</v>
      </c>
      <c r="G179" t="s">
        <v>569</v>
      </c>
      <c r="H179" t="s">
        <v>569</v>
      </c>
      <c r="I179" t="s">
        <v>569</v>
      </c>
      <c r="J179" t="s">
        <v>569</v>
      </c>
      <c r="K179">
        <v>0</v>
      </c>
      <c r="L179" t="s">
        <v>569</v>
      </c>
      <c r="M179" t="s">
        <v>569</v>
      </c>
      <c r="N179" t="s">
        <v>569</v>
      </c>
      <c r="O179" t="s">
        <v>569</v>
      </c>
      <c r="P179" t="s">
        <v>569</v>
      </c>
      <c r="Q179" t="s">
        <v>569</v>
      </c>
      <c r="R179">
        <v>48.405388819999999</v>
      </c>
      <c r="S179" t="s">
        <v>1213</v>
      </c>
      <c r="T179">
        <v>-123.55856540000001</v>
      </c>
      <c r="U179" t="s">
        <v>1206</v>
      </c>
      <c r="V179" t="s">
        <v>569</v>
      </c>
      <c r="W179" t="s">
        <v>569</v>
      </c>
      <c r="X179" t="s">
        <v>569</v>
      </c>
      <c r="Y179" t="s">
        <v>569</v>
      </c>
      <c r="Z179" t="s">
        <v>569</v>
      </c>
      <c r="AA179" t="s">
        <v>1229</v>
      </c>
      <c r="AB179">
        <v>50</v>
      </c>
      <c r="AC1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0" spans="1:29" x14ac:dyDescent="0.25">
      <c r="A180" t="s">
        <v>1408</v>
      </c>
      <c r="B180" t="s">
        <v>505</v>
      </c>
      <c r="C180" t="s">
        <v>504</v>
      </c>
      <c r="D180" t="s">
        <v>501</v>
      </c>
      <c r="E180" t="s">
        <v>502</v>
      </c>
      <c r="F180" t="s">
        <v>569</v>
      </c>
      <c r="G180" t="s">
        <v>569</v>
      </c>
      <c r="H180" t="s">
        <v>569</v>
      </c>
      <c r="I180" t="s">
        <v>569</v>
      </c>
      <c r="J180" t="s">
        <v>569</v>
      </c>
      <c r="K180" t="s">
        <v>569</v>
      </c>
      <c r="L180" t="s">
        <v>569</v>
      </c>
      <c r="M180" t="s">
        <v>569</v>
      </c>
      <c r="N180" t="s">
        <v>569</v>
      </c>
      <c r="O180" t="s">
        <v>569</v>
      </c>
      <c r="P180" t="s">
        <v>569</v>
      </c>
      <c r="Q180" t="s">
        <v>569</v>
      </c>
      <c r="R180" t="s">
        <v>569</v>
      </c>
      <c r="S180" t="s">
        <v>569</v>
      </c>
      <c r="T180" t="s">
        <v>569</v>
      </c>
      <c r="U180" t="s">
        <v>569</v>
      </c>
      <c r="V180" t="s">
        <v>569</v>
      </c>
      <c r="W180" t="s">
        <v>569</v>
      </c>
      <c r="X180" t="s">
        <v>569</v>
      </c>
      <c r="Y180" t="s">
        <v>569</v>
      </c>
      <c r="Z180" t="s">
        <v>569</v>
      </c>
      <c r="AA180" t="s">
        <v>569</v>
      </c>
      <c r="AB180">
        <v>50</v>
      </c>
      <c r="AC18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1" spans="1:29" x14ac:dyDescent="0.25">
      <c r="A181" t="s">
        <v>1252</v>
      </c>
      <c r="B181" t="s">
        <v>1005</v>
      </c>
      <c r="C181" t="s">
        <v>1235</v>
      </c>
      <c r="D181" t="s">
        <v>1006</v>
      </c>
      <c r="E181" t="s">
        <v>1236</v>
      </c>
      <c r="F181" t="s">
        <v>569</v>
      </c>
      <c r="G181" t="s">
        <v>569</v>
      </c>
      <c r="H181" t="s">
        <v>569</v>
      </c>
      <c r="I181" t="s">
        <v>569</v>
      </c>
      <c r="J181" t="s">
        <v>569</v>
      </c>
      <c r="K181" t="s">
        <v>569</v>
      </c>
      <c r="L181" t="s">
        <v>569</v>
      </c>
      <c r="M181" t="s">
        <v>569</v>
      </c>
      <c r="N181" t="s">
        <v>569</v>
      </c>
      <c r="O181" t="s">
        <v>569</v>
      </c>
      <c r="P181" t="s">
        <v>569</v>
      </c>
      <c r="Q181" t="s">
        <v>569</v>
      </c>
      <c r="R181">
        <v>51.543722070000001</v>
      </c>
      <c r="S181" t="s">
        <v>1213</v>
      </c>
      <c r="T181">
        <v>-0.17839771800000001</v>
      </c>
      <c r="U181" t="s">
        <v>1206</v>
      </c>
      <c r="V181" t="s">
        <v>569</v>
      </c>
      <c r="W181" t="s">
        <v>569</v>
      </c>
      <c r="X181" t="s">
        <v>569</v>
      </c>
      <c r="Y181" t="s">
        <v>569</v>
      </c>
      <c r="Z181" t="s">
        <v>569</v>
      </c>
      <c r="AA181" t="s">
        <v>1230</v>
      </c>
      <c r="AB181">
        <v>50</v>
      </c>
      <c r="AC1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2" spans="1:29" x14ac:dyDescent="0.25">
      <c r="A182" t="s">
        <v>1357</v>
      </c>
      <c r="B182" t="s">
        <v>1017</v>
      </c>
      <c r="C182" t="s">
        <v>504</v>
      </c>
      <c r="D182" t="s">
        <v>501</v>
      </c>
      <c r="E182" t="s">
        <v>502</v>
      </c>
      <c r="F182" t="s">
        <v>569</v>
      </c>
      <c r="G182" t="s">
        <v>569</v>
      </c>
      <c r="H182" t="s">
        <v>569</v>
      </c>
      <c r="I182" t="s">
        <v>569</v>
      </c>
      <c r="J182" t="s">
        <v>569</v>
      </c>
      <c r="K182" t="s">
        <v>569</v>
      </c>
      <c r="L182" t="s">
        <v>569</v>
      </c>
      <c r="M182" t="s">
        <v>569</v>
      </c>
      <c r="N182" t="s">
        <v>569</v>
      </c>
      <c r="O182" t="s">
        <v>569</v>
      </c>
      <c r="P182" t="s">
        <v>569</v>
      </c>
      <c r="Q182" t="s">
        <v>569</v>
      </c>
      <c r="R182" t="s">
        <v>569</v>
      </c>
      <c r="S182" t="s">
        <v>569</v>
      </c>
      <c r="T182" t="s">
        <v>569</v>
      </c>
      <c r="U182" t="s">
        <v>569</v>
      </c>
      <c r="V182" t="s">
        <v>569</v>
      </c>
      <c r="W182" t="s">
        <v>569</v>
      </c>
      <c r="X182" t="s">
        <v>569</v>
      </c>
      <c r="Y182" t="s">
        <v>569</v>
      </c>
      <c r="Z182" t="s">
        <v>569</v>
      </c>
      <c r="AA182" t="s">
        <v>569</v>
      </c>
      <c r="AB182">
        <v>50</v>
      </c>
      <c r="AC18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3" spans="1:29" x14ac:dyDescent="0.25">
      <c r="A183" t="s">
        <v>706</v>
      </c>
      <c r="B183" t="s">
        <v>705</v>
      </c>
      <c r="C183" t="s">
        <v>707</v>
      </c>
      <c r="D183" t="s">
        <v>522</v>
      </c>
      <c r="E183" t="s">
        <v>523</v>
      </c>
      <c r="F183" t="s">
        <v>569</v>
      </c>
      <c r="G183" t="s">
        <v>569</v>
      </c>
      <c r="H183" t="s">
        <v>569</v>
      </c>
      <c r="I183" t="s">
        <v>569</v>
      </c>
      <c r="J183" t="s">
        <v>569</v>
      </c>
      <c r="K183">
        <v>0</v>
      </c>
      <c r="L183" t="s">
        <v>569</v>
      </c>
      <c r="M183" t="s">
        <v>569</v>
      </c>
      <c r="N183" t="s">
        <v>569</v>
      </c>
      <c r="O183" t="s">
        <v>569</v>
      </c>
      <c r="P183" t="s">
        <v>569</v>
      </c>
      <c r="Q183" t="s">
        <v>569</v>
      </c>
      <c r="R183">
        <v>-20.271807559999999</v>
      </c>
      <c r="S183" t="s">
        <v>1111</v>
      </c>
      <c r="T183">
        <v>148.7208335</v>
      </c>
      <c r="U183" t="s">
        <v>1201</v>
      </c>
      <c r="V183" t="s">
        <v>569</v>
      </c>
      <c r="W183" t="s">
        <v>569</v>
      </c>
      <c r="X183" t="s">
        <v>569</v>
      </c>
      <c r="Y183" t="s">
        <v>569</v>
      </c>
      <c r="Z183" s="9">
        <v>0</v>
      </c>
      <c r="AA183" t="s">
        <v>1229</v>
      </c>
      <c r="AB183">
        <v>50</v>
      </c>
      <c r="AC1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4" spans="1:29" x14ac:dyDescent="0.25">
      <c r="A184" t="s">
        <v>892</v>
      </c>
      <c r="B184" t="s">
        <v>505</v>
      </c>
      <c r="C184" t="s">
        <v>504</v>
      </c>
      <c r="D184" t="s">
        <v>501</v>
      </c>
      <c r="E184" t="s">
        <v>502</v>
      </c>
      <c r="F184" t="s">
        <v>569</v>
      </c>
      <c r="G184" t="s">
        <v>569</v>
      </c>
      <c r="H184" t="s">
        <v>569</v>
      </c>
      <c r="I184" t="s">
        <v>569</v>
      </c>
      <c r="J184" t="s">
        <v>569</v>
      </c>
      <c r="K184">
        <v>0</v>
      </c>
      <c r="L184" t="s">
        <v>569</v>
      </c>
      <c r="M184" t="s">
        <v>569</v>
      </c>
      <c r="N184" t="s">
        <v>569</v>
      </c>
      <c r="O184" t="s">
        <v>569</v>
      </c>
      <c r="P184" t="s">
        <v>569</v>
      </c>
      <c r="Q184" t="s">
        <v>569</v>
      </c>
      <c r="R184">
        <v>48.430517569999999</v>
      </c>
      <c r="S184" t="s">
        <v>1213</v>
      </c>
      <c r="T184">
        <v>-123.3623511</v>
      </c>
      <c r="U184" t="s">
        <v>1206</v>
      </c>
      <c r="V184" t="s">
        <v>569</v>
      </c>
      <c r="W184" t="s">
        <v>569</v>
      </c>
      <c r="X184" t="s">
        <v>569</v>
      </c>
      <c r="Y184" t="s">
        <v>569</v>
      </c>
      <c r="Z184" t="s">
        <v>569</v>
      </c>
      <c r="AA184" t="s">
        <v>1229</v>
      </c>
      <c r="AB184">
        <v>50</v>
      </c>
      <c r="AC1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5" spans="1:29" x14ac:dyDescent="0.25">
      <c r="A185" t="s">
        <v>870</v>
      </c>
      <c r="B185" t="s">
        <v>5</v>
      </c>
      <c r="C185" t="s">
        <v>504</v>
      </c>
      <c r="D185" t="s">
        <v>501</v>
      </c>
      <c r="E185" t="s">
        <v>502</v>
      </c>
      <c r="F185" t="s">
        <v>569</v>
      </c>
      <c r="G185" t="s">
        <v>569</v>
      </c>
      <c r="H185" t="s">
        <v>569</v>
      </c>
      <c r="I185" t="s">
        <v>569</v>
      </c>
      <c r="J185" t="s">
        <v>569</v>
      </c>
      <c r="K185" t="s">
        <v>569</v>
      </c>
      <c r="L185" t="s">
        <v>569</v>
      </c>
      <c r="M185" t="s">
        <v>569</v>
      </c>
      <c r="N185" t="s">
        <v>569</v>
      </c>
      <c r="O185" t="s">
        <v>569</v>
      </c>
      <c r="P185" t="s">
        <v>569</v>
      </c>
      <c r="Q185" t="s">
        <v>569</v>
      </c>
      <c r="R185">
        <v>48.729674639999999</v>
      </c>
      <c r="S185" t="s">
        <v>1213</v>
      </c>
      <c r="T185">
        <v>-123.6210698</v>
      </c>
      <c r="U185" t="s">
        <v>1206</v>
      </c>
      <c r="V185" t="s">
        <v>569</v>
      </c>
      <c r="W185" t="s">
        <v>569</v>
      </c>
      <c r="X185" t="s">
        <v>569</v>
      </c>
      <c r="Y185" t="s">
        <v>569</v>
      </c>
      <c r="Z185" t="s">
        <v>569</v>
      </c>
      <c r="AA185" t="s">
        <v>569</v>
      </c>
      <c r="AB185">
        <v>50</v>
      </c>
      <c r="AC1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6" spans="1:29" x14ac:dyDescent="0.25">
      <c r="A186" t="s">
        <v>919</v>
      </c>
      <c r="B186" t="s">
        <v>918</v>
      </c>
      <c r="C186" t="s">
        <v>504</v>
      </c>
      <c r="D186" t="s">
        <v>501</v>
      </c>
      <c r="E186" t="s">
        <v>502</v>
      </c>
      <c r="F186" t="s">
        <v>569</v>
      </c>
      <c r="G186" t="s">
        <v>569</v>
      </c>
      <c r="H186" t="s">
        <v>569</v>
      </c>
      <c r="I186" t="s">
        <v>569</v>
      </c>
      <c r="J186" t="s">
        <v>569</v>
      </c>
      <c r="K186">
        <v>0</v>
      </c>
      <c r="L186" t="s">
        <v>569</v>
      </c>
      <c r="M186" t="s">
        <v>569</v>
      </c>
      <c r="N186" t="s">
        <v>569</v>
      </c>
      <c r="O186" t="s">
        <v>569</v>
      </c>
      <c r="P186" t="s">
        <v>569</v>
      </c>
      <c r="Q186" t="s">
        <v>569</v>
      </c>
      <c r="R186">
        <v>49.007122510000002</v>
      </c>
      <c r="S186" t="s">
        <v>1213</v>
      </c>
      <c r="T186">
        <v>-122.0816231</v>
      </c>
      <c r="U186" t="s">
        <v>1206</v>
      </c>
      <c r="V186" t="s">
        <v>569</v>
      </c>
      <c r="W186" t="s">
        <v>569</v>
      </c>
      <c r="X186" t="s">
        <v>569</v>
      </c>
      <c r="Y186" t="s">
        <v>569</v>
      </c>
      <c r="Z186" t="s">
        <v>569</v>
      </c>
      <c r="AA186" t="s">
        <v>1229</v>
      </c>
      <c r="AB186">
        <v>50</v>
      </c>
      <c r="AC18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7" spans="1:29" x14ac:dyDescent="0.25">
      <c r="A187" t="s">
        <v>834</v>
      </c>
      <c r="B187" t="s">
        <v>505</v>
      </c>
      <c r="C187" t="s">
        <v>504</v>
      </c>
      <c r="D187" t="s">
        <v>501</v>
      </c>
      <c r="E187" t="s">
        <v>502</v>
      </c>
      <c r="F187" t="s">
        <v>569</v>
      </c>
      <c r="G187" t="s">
        <v>569</v>
      </c>
      <c r="H187" t="s">
        <v>569</v>
      </c>
      <c r="I187" t="s">
        <v>569</v>
      </c>
      <c r="J187" t="s">
        <v>569</v>
      </c>
      <c r="K187">
        <v>0</v>
      </c>
      <c r="L187" t="s">
        <v>569</v>
      </c>
      <c r="M187" t="s">
        <v>569</v>
      </c>
      <c r="N187" t="s">
        <v>569</v>
      </c>
      <c r="O187" t="s">
        <v>569</v>
      </c>
      <c r="P187" t="s">
        <v>569</v>
      </c>
      <c r="Q187" t="s">
        <v>569</v>
      </c>
      <c r="R187">
        <v>48.448667469999997</v>
      </c>
      <c r="S187" t="s">
        <v>1213</v>
      </c>
      <c r="T187">
        <v>-123.33962200000001</v>
      </c>
      <c r="U187" t="s">
        <v>1206</v>
      </c>
      <c r="V187" t="s">
        <v>569</v>
      </c>
      <c r="W187" t="s">
        <v>569</v>
      </c>
      <c r="X187" t="s">
        <v>569</v>
      </c>
      <c r="Y187" t="s">
        <v>569</v>
      </c>
      <c r="Z187" t="s">
        <v>569</v>
      </c>
      <c r="AA187" t="s">
        <v>1229</v>
      </c>
      <c r="AB187">
        <v>50</v>
      </c>
      <c r="AC1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8" spans="1:29" x14ac:dyDescent="0.25">
      <c r="A188" t="s">
        <v>1349</v>
      </c>
      <c r="B188" t="s">
        <v>835</v>
      </c>
      <c r="C188" t="s">
        <v>504</v>
      </c>
      <c r="D188" t="s">
        <v>501</v>
      </c>
      <c r="E188" t="s">
        <v>502</v>
      </c>
      <c r="F188" t="s">
        <v>569</v>
      </c>
      <c r="G188" t="s">
        <v>569</v>
      </c>
      <c r="H188" t="s">
        <v>569</v>
      </c>
      <c r="I188" t="s">
        <v>569</v>
      </c>
      <c r="J188" t="s">
        <v>569</v>
      </c>
      <c r="K188" t="s">
        <v>569</v>
      </c>
      <c r="L188" t="s">
        <v>569</v>
      </c>
      <c r="M188" t="s">
        <v>569</v>
      </c>
      <c r="N188" t="s">
        <v>569</v>
      </c>
      <c r="O188" t="s">
        <v>569</v>
      </c>
      <c r="P188" t="s">
        <v>569</v>
      </c>
      <c r="Q188" t="s">
        <v>569</v>
      </c>
      <c r="R188" t="s">
        <v>569</v>
      </c>
      <c r="S188" t="s">
        <v>569</v>
      </c>
      <c r="T188" t="s">
        <v>569</v>
      </c>
      <c r="U188" t="s">
        <v>569</v>
      </c>
      <c r="V188" t="s">
        <v>569</v>
      </c>
      <c r="W188" t="s">
        <v>569</v>
      </c>
      <c r="X188" t="s">
        <v>569</v>
      </c>
      <c r="Y188" t="s">
        <v>569</v>
      </c>
      <c r="Z188" t="s">
        <v>569</v>
      </c>
      <c r="AA188" t="s">
        <v>569</v>
      </c>
      <c r="AB188">
        <v>50</v>
      </c>
      <c r="AC18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89" spans="1:29" x14ac:dyDescent="0.25">
      <c r="A189" t="s">
        <v>1348</v>
      </c>
      <c r="B189" t="s">
        <v>835</v>
      </c>
      <c r="C189" t="s">
        <v>504</v>
      </c>
      <c r="D189" t="s">
        <v>501</v>
      </c>
      <c r="E189" t="s">
        <v>502</v>
      </c>
      <c r="F189" t="s">
        <v>569</v>
      </c>
      <c r="G189" t="s">
        <v>569</v>
      </c>
      <c r="H189" t="s">
        <v>569</v>
      </c>
      <c r="I189" t="s">
        <v>569</v>
      </c>
      <c r="J189" t="s">
        <v>569</v>
      </c>
      <c r="K189" t="s">
        <v>569</v>
      </c>
      <c r="L189" t="s">
        <v>569</v>
      </c>
      <c r="M189" t="s">
        <v>569</v>
      </c>
      <c r="N189" t="s">
        <v>569</v>
      </c>
      <c r="O189" t="s">
        <v>569</v>
      </c>
      <c r="P189" t="s">
        <v>569</v>
      </c>
      <c r="Q189" t="s">
        <v>569</v>
      </c>
      <c r="R189" t="s">
        <v>569</v>
      </c>
      <c r="S189" t="s">
        <v>569</v>
      </c>
      <c r="T189" t="s">
        <v>569</v>
      </c>
      <c r="U189" t="s">
        <v>569</v>
      </c>
      <c r="V189" t="s">
        <v>569</v>
      </c>
      <c r="W189" t="s">
        <v>569</v>
      </c>
      <c r="X189" t="s">
        <v>569</v>
      </c>
      <c r="Y189" t="s">
        <v>569</v>
      </c>
      <c r="Z189" t="s">
        <v>569</v>
      </c>
      <c r="AA189" t="s">
        <v>569</v>
      </c>
      <c r="AB189">
        <v>50</v>
      </c>
      <c r="AC18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0" spans="1:29" x14ac:dyDescent="0.25">
      <c r="A190" t="s">
        <v>627</v>
      </c>
      <c r="B190" t="s">
        <v>533</v>
      </c>
      <c r="C190" t="s">
        <v>504</v>
      </c>
      <c r="D190" t="s">
        <v>501</v>
      </c>
      <c r="E190" t="s">
        <v>502</v>
      </c>
      <c r="F190" t="s">
        <v>569</v>
      </c>
      <c r="G190" t="s">
        <v>569</v>
      </c>
      <c r="H190" t="s">
        <v>569</v>
      </c>
      <c r="I190" t="s">
        <v>569</v>
      </c>
      <c r="J190" t="s">
        <v>569</v>
      </c>
      <c r="K190">
        <v>0</v>
      </c>
      <c r="L190" t="s">
        <v>569</v>
      </c>
      <c r="M190" t="s">
        <v>569</v>
      </c>
      <c r="N190" t="s">
        <v>569</v>
      </c>
      <c r="O190" t="s">
        <v>569</v>
      </c>
      <c r="P190" t="s">
        <v>569</v>
      </c>
      <c r="Q190" t="s">
        <v>569</v>
      </c>
      <c r="R190">
        <v>48.385935609999997</v>
      </c>
      <c r="S190" t="s">
        <v>1213</v>
      </c>
      <c r="T190">
        <v>-123.7242186</v>
      </c>
      <c r="U190" t="s">
        <v>1206</v>
      </c>
      <c r="V190" t="s">
        <v>569</v>
      </c>
      <c r="W190" t="s">
        <v>569</v>
      </c>
      <c r="X190" t="s">
        <v>569</v>
      </c>
      <c r="Y190" t="s">
        <v>569</v>
      </c>
      <c r="Z190" t="s">
        <v>569</v>
      </c>
      <c r="AA190" t="s">
        <v>1229</v>
      </c>
      <c r="AB190">
        <v>50</v>
      </c>
      <c r="AC1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1" spans="1:29" x14ac:dyDescent="0.25">
      <c r="A191" t="s">
        <v>543</v>
      </c>
      <c r="B191" t="s">
        <v>505</v>
      </c>
      <c r="C191" t="s">
        <v>504</v>
      </c>
      <c r="D191" t="s">
        <v>501</v>
      </c>
      <c r="E191" t="s">
        <v>502</v>
      </c>
      <c r="F191" t="s">
        <v>569</v>
      </c>
      <c r="G191" t="s">
        <v>569</v>
      </c>
      <c r="H191" t="s">
        <v>569</v>
      </c>
      <c r="I191" t="s">
        <v>569</v>
      </c>
      <c r="J191" t="s">
        <v>569</v>
      </c>
      <c r="K191">
        <v>0</v>
      </c>
      <c r="L191" t="s">
        <v>569</v>
      </c>
      <c r="M191" t="s">
        <v>569</v>
      </c>
      <c r="N191" t="s">
        <v>569</v>
      </c>
      <c r="O191" t="s">
        <v>569</v>
      </c>
      <c r="P191" t="s">
        <v>569</v>
      </c>
      <c r="Q191" t="s">
        <v>569</v>
      </c>
      <c r="R191">
        <v>48.41837486</v>
      </c>
      <c r="S191" t="s">
        <v>1213</v>
      </c>
      <c r="T191">
        <v>-123.3790585</v>
      </c>
      <c r="U191" t="s">
        <v>1206</v>
      </c>
      <c r="V191" t="s">
        <v>569</v>
      </c>
      <c r="W191" t="s">
        <v>569</v>
      </c>
      <c r="X191" t="s">
        <v>569</v>
      </c>
      <c r="Y191" t="s">
        <v>569</v>
      </c>
      <c r="Z191" t="s">
        <v>569</v>
      </c>
      <c r="AA191" t="s">
        <v>1229</v>
      </c>
      <c r="AB191">
        <v>50</v>
      </c>
      <c r="AC1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2" spans="1:29" x14ac:dyDescent="0.25">
      <c r="A192" t="s">
        <v>1394</v>
      </c>
      <c r="B192" t="s">
        <v>513</v>
      </c>
      <c r="C192" t="s">
        <v>504</v>
      </c>
      <c r="D192" t="s">
        <v>501</v>
      </c>
      <c r="E192" t="s">
        <v>502</v>
      </c>
      <c r="F192" t="s">
        <v>569</v>
      </c>
      <c r="G192" t="s">
        <v>569</v>
      </c>
      <c r="H192" t="s">
        <v>569</v>
      </c>
      <c r="I192" t="s">
        <v>569</v>
      </c>
      <c r="J192" t="s">
        <v>569</v>
      </c>
      <c r="K192" t="s">
        <v>569</v>
      </c>
      <c r="L192" t="s">
        <v>569</v>
      </c>
      <c r="M192" t="s">
        <v>569</v>
      </c>
      <c r="N192" t="s">
        <v>569</v>
      </c>
      <c r="O192" t="s">
        <v>569</v>
      </c>
      <c r="P192" t="s">
        <v>569</v>
      </c>
      <c r="Q192" t="s">
        <v>569</v>
      </c>
      <c r="R192" t="s">
        <v>569</v>
      </c>
      <c r="S192" t="s">
        <v>569</v>
      </c>
      <c r="T192" t="s">
        <v>569</v>
      </c>
      <c r="U192" t="s">
        <v>569</v>
      </c>
      <c r="V192" t="s">
        <v>569</v>
      </c>
      <c r="W192" t="s">
        <v>569</v>
      </c>
      <c r="X192" t="s">
        <v>569</v>
      </c>
      <c r="Y192" t="s">
        <v>569</v>
      </c>
      <c r="Z192" t="s">
        <v>569</v>
      </c>
      <c r="AA192" t="s">
        <v>569</v>
      </c>
      <c r="AB192">
        <v>50</v>
      </c>
      <c r="AC19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3" spans="1:29" x14ac:dyDescent="0.25">
      <c r="A193" t="s">
        <v>510</v>
      </c>
      <c r="B193" t="s">
        <v>505</v>
      </c>
      <c r="C193" t="s">
        <v>504</v>
      </c>
      <c r="D193" t="s">
        <v>501</v>
      </c>
      <c r="E193" t="s">
        <v>502</v>
      </c>
      <c r="F193" t="s">
        <v>569</v>
      </c>
      <c r="G193" t="s">
        <v>569</v>
      </c>
      <c r="H193" t="s">
        <v>569</v>
      </c>
      <c r="I193" t="s">
        <v>569</v>
      </c>
      <c r="J193" t="s">
        <v>569</v>
      </c>
      <c r="K193">
        <v>0</v>
      </c>
      <c r="L193" t="s">
        <v>569</v>
      </c>
      <c r="M193" t="s">
        <v>569</v>
      </c>
      <c r="N193" t="s">
        <v>569</v>
      </c>
      <c r="O193" t="s">
        <v>569</v>
      </c>
      <c r="P193" t="s">
        <v>569</v>
      </c>
      <c r="Q193" t="s">
        <v>569</v>
      </c>
      <c r="R193">
        <v>48.45180568</v>
      </c>
      <c r="S193" t="s">
        <v>1213</v>
      </c>
      <c r="T193">
        <v>-123.4988058</v>
      </c>
      <c r="U193" t="s">
        <v>1206</v>
      </c>
      <c r="V193" t="s">
        <v>569</v>
      </c>
      <c r="W193" t="s">
        <v>569</v>
      </c>
      <c r="X193" t="s">
        <v>569</v>
      </c>
      <c r="Y193" t="s">
        <v>569</v>
      </c>
      <c r="Z193" t="s">
        <v>569</v>
      </c>
      <c r="AA193" t="s">
        <v>1229</v>
      </c>
      <c r="AB193">
        <v>50</v>
      </c>
      <c r="AC1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4" spans="1:29" x14ac:dyDescent="0.25">
      <c r="A194" t="s">
        <v>1244</v>
      </c>
      <c r="B194" t="s">
        <v>1005</v>
      </c>
      <c r="C194" t="s">
        <v>1235</v>
      </c>
      <c r="D194" t="s">
        <v>1006</v>
      </c>
      <c r="E194" t="s">
        <v>1236</v>
      </c>
      <c r="F194" t="s">
        <v>569</v>
      </c>
      <c r="G194" t="s">
        <v>569</v>
      </c>
      <c r="H194" t="s">
        <v>569</v>
      </c>
      <c r="I194" t="s">
        <v>569</v>
      </c>
      <c r="J194" t="s">
        <v>569</v>
      </c>
      <c r="K194" t="s">
        <v>569</v>
      </c>
      <c r="L194" t="s">
        <v>569</v>
      </c>
      <c r="M194" t="s">
        <v>569</v>
      </c>
      <c r="N194" t="s">
        <v>569</v>
      </c>
      <c r="O194" t="s">
        <v>569</v>
      </c>
      <c r="P194" t="s">
        <v>569</v>
      </c>
      <c r="Q194" t="s">
        <v>569</v>
      </c>
      <c r="R194">
        <v>51.494852020000003</v>
      </c>
      <c r="S194" t="s">
        <v>1213</v>
      </c>
      <c r="T194">
        <v>-0.245630771</v>
      </c>
      <c r="U194" t="s">
        <v>1206</v>
      </c>
      <c r="V194" t="s">
        <v>569</v>
      </c>
      <c r="W194" t="s">
        <v>569</v>
      </c>
      <c r="X194" t="s">
        <v>569</v>
      </c>
      <c r="Y194" t="s">
        <v>569</v>
      </c>
      <c r="Z194" t="s">
        <v>569</v>
      </c>
      <c r="AA194" t="s">
        <v>1230</v>
      </c>
      <c r="AB194">
        <v>50</v>
      </c>
      <c r="AC1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5" spans="1:29" x14ac:dyDescent="0.25">
      <c r="A195" t="s">
        <v>1402</v>
      </c>
      <c r="B195" t="s">
        <v>505</v>
      </c>
      <c r="C195" t="s">
        <v>504</v>
      </c>
      <c r="D195" t="s">
        <v>501</v>
      </c>
      <c r="E195" t="s">
        <v>502</v>
      </c>
      <c r="F195" t="s">
        <v>569</v>
      </c>
      <c r="G195" t="s">
        <v>569</v>
      </c>
      <c r="H195" t="s">
        <v>569</v>
      </c>
      <c r="I195" t="s">
        <v>569</v>
      </c>
      <c r="J195" t="s">
        <v>569</v>
      </c>
      <c r="K195" t="s">
        <v>569</v>
      </c>
      <c r="L195" t="s">
        <v>569</v>
      </c>
      <c r="M195" t="s">
        <v>569</v>
      </c>
      <c r="N195" t="s">
        <v>569</v>
      </c>
      <c r="O195" t="s">
        <v>569</v>
      </c>
      <c r="P195" t="s">
        <v>569</v>
      </c>
      <c r="Q195" t="s">
        <v>569</v>
      </c>
      <c r="R195" t="s">
        <v>569</v>
      </c>
      <c r="S195" t="s">
        <v>569</v>
      </c>
      <c r="T195" t="s">
        <v>569</v>
      </c>
      <c r="U195" t="s">
        <v>569</v>
      </c>
      <c r="V195" t="s">
        <v>569</v>
      </c>
      <c r="W195" t="s">
        <v>569</v>
      </c>
      <c r="X195" t="s">
        <v>569</v>
      </c>
      <c r="Y195" t="s">
        <v>569</v>
      </c>
      <c r="Z195" t="s">
        <v>569</v>
      </c>
      <c r="AA195" t="s">
        <v>569</v>
      </c>
      <c r="AB195">
        <v>50</v>
      </c>
      <c r="AC19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6" spans="1:29" x14ac:dyDescent="0.25">
      <c r="A196" t="s">
        <v>928</v>
      </c>
      <c r="B196" t="s">
        <v>513</v>
      </c>
      <c r="C196" t="s">
        <v>504</v>
      </c>
      <c r="D196" t="s">
        <v>501</v>
      </c>
      <c r="E196" t="s">
        <v>502</v>
      </c>
      <c r="F196" t="s">
        <v>569</v>
      </c>
      <c r="G196" t="s">
        <v>569</v>
      </c>
      <c r="H196" t="s">
        <v>569</v>
      </c>
      <c r="I196" t="s">
        <v>569</v>
      </c>
      <c r="J196" t="s">
        <v>569</v>
      </c>
      <c r="K196">
        <v>0</v>
      </c>
      <c r="L196" t="s">
        <v>569</v>
      </c>
      <c r="M196" t="s">
        <v>569</v>
      </c>
      <c r="N196" t="s">
        <v>569</v>
      </c>
      <c r="O196" t="s">
        <v>569</v>
      </c>
      <c r="P196" t="s">
        <v>569</v>
      </c>
      <c r="Q196" t="s">
        <v>569</v>
      </c>
      <c r="R196">
        <v>49.259756439999997</v>
      </c>
      <c r="S196" t="s">
        <v>1213</v>
      </c>
      <c r="T196">
        <v>-123.0986094</v>
      </c>
      <c r="U196" t="s">
        <v>1206</v>
      </c>
      <c r="V196" t="s">
        <v>569</v>
      </c>
      <c r="W196" t="s">
        <v>569</v>
      </c>
      <c r="X196" t="s">
        <v>569</v>
      </c>
      <c r="Y196" t="s">
        <v>569</v>
      </c>
      <c r="Z196" t="s">
        <v>569</v>
      </c>
      <c r="AA196" t="s">
        <v>1229</v>
      </c>
      <c r="AB196">
        <v>50</v>
      </c>
      <c r="AC1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7" spans="1:29" x14ac:dyDescent="0.25">
      <c r="A197" t="s">
        <v>1544</v>
      </c>
      <c r="B197" t="s">
        <v>835</v>
      </c>
      <c r="C197" t="s">
        <v>504</v>
      </c>
      <c r="D197" t="s">
        <v>501</v>
      </c>
      <c r="E197" t="s">
        <v>502</v>
      </c>
      <c r="F197" t="s">
        <v>569</v>
      </c>
      <c r="G197" t="s">
        <v>569</v>
      </c>
      <c r="H197" t="s">
        <v>569</v>
      </c>
      <c r="I197" t="s">
        <v>569</v>
      </c>
      <c r="J197" t="s">
        <v>569</v>
      </c>
      <c r="K197" t="s">
        <v>569</v>
      </c>
      <c r="L197" t="s">
        <v>569</v>
      </c>
      <c r="M197" t="s">
        <v>569</v>
      </c>
      <c r="N197" t="s">
        <v>569</v>
      </c>
      <c r="O197" t="s">
        <v>569</v>
      </c>
      <c r="P197" t="s">
        <v>569</v>
      </c>
      <c r="Q197" t="s">
        <v>569</v>
      </c>
      <c r="R197" t="s">
        <v>569</v>
      </c>
      <c r="S197" t="s">
        <v>569</v>
      </c>
      <c r="T197" t="s">
        <v>569</v>
      </c>
      <c r="U197" t="s">
        <v>569</v>
      </c>
      <c r="V197" t="s">
        <v>569</v>
      </c>
      <c r="W197" t="s">
        <v>569</v>
      </c>
      <c r="X197" t="s">
        <v>569</v>
      </c>
      <c r="Y197" t="s">
        <v>569</v>
      </c>
      <c r="Z197" t="s">
        <v>569</v>
      </c>
      <c r="AA197" t="s">
        <v>569</v>
      </c>
      <c r="AB197">
        <v>50</v>
      </c>
      <c r="AC19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8" spans="1:29" x14ac:dyDescent="0.25">
      <c r="A198" t="s">
        <v>1248</v>
      </c>
      <c r="B198" t="s">
        <v>1005</v>
      </c>
      <c r="C198" t="s">
        <v>1235</v>
      </c>
      <c r="D198" t="s">
        <v>1006</v>
      </c>
      <c r="E198" t="s">
        <v>1236</v>
      </c>
      <c r="F198" t="s">
        <v>569</v>
      </c>
      <c r="G198" t="s">
        <v>569</v>
      </c>
      <c r="H198" t="s">
        <v>569</v>
      </c>
      <c r="I198" t="s">
        <v>569</v>
      </c>
      <c r="J198" t="s">
        <v>569</v>
      </c>
      <c r="K198" t="s">
        <v>569</v>
      </c>
      <c r="L198" t="s">
        <v>569</v>
      </c>
      <c r="M198" t="s">
        <v>569</v>
      </c>
      <c r="N198" t="s">
        <v>569</v>
      </c>
      <c r="O198" t="s">
        <v>569</v>
      </c>
      <c r="P198" t="s">
        <v>569</v>
      </c>
      <c r="Q198" t="s">
        <v>569</v>
      </c>
      <c r="R198">
        <v>51.571439179999999</v>
      </c>
      <c r="S198" t="s">
        <v>1213</v>
      </c>
      <c r="T198">
        <v>-0.198473283</v>
      </c>
      <c r="U198" t="s">
        <v>1206</v>
      </c>
      <c r="V198" t="s">
        <v>569</v>
      </c>
      <c r="W198" t="s">
        <v>569</v>
      </c>
      <c r="X198" t="s">
        <v>569</v>
      </c>
      <c r="Y198" t="s">
        <v>569</v>
      </c>
      <c r="Z198" t="s">
        <v>569</v>
      </c>
      <c r="AA198" t="s">
        <v>1230</v>
      </c>
      <c r="AB198">
        <v>50</v>
      </c>
      <c r="AC1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199" spans="1:29" x14ac:dyDescent="0.25">
      <c r="A199" t="s">
        <v>806</v>
      </c>
      <c r="B199" t="s">
        <v>505</v>
      </c>
      <c r="C199" t="s">
        <v>504</v>
      </c>
      <c r="D199" t="s">
        <v>501</v>
      </c>
      <c r="E199" t="s">
        <v>502</v>
      </c>
      <c r="F199" t="s">
        <v>569</v>
      </c>
      <c r="G199" t="s">
        <v>569</v>
      </c>
      <c r="H199" t="s">
        <v>569</v>
      </c>
      <c r="I199" t="s">
        <v>569</v>
      </c>
      <c r="J199" t="s">
        <v>569</v>
      </c>
      <c r="K199">
        <v>0</v>
      </c>
      <c r="L199" t="s">
        <v>569</v>
      </c>
      <c r="M199" t="s">
        <v>569</v>
      </c>
      <c r="N199" t="s">
        <v>569</v>
      </c>
      <c r="O199" t="s">
        <v>569</v>
      </c>
      <c r="P199" t="s">
        <v>569</v>
      </c>
      <c r="Q199" t="s">
        <v>569</v>
      </c>
      <c r="R199">
        <v>48.443808560000001</v>
      </c>
      <c r="S199" t="s">
        <v>1213</v>
      </c>
      <c r="T199">
        <v>-123.3566433</v>
      </c>
      <c r="U199" t="s">
        <v>1206</v>
      </c>
      <c r="V199" t="s">
        <v>569</v>
      </c>
      <c r="W199" t="s">
        <v>569</v>
      </c>
      <c r="X199" t="s">
        <v>569</v>
      </c>
      <c r="Y199" t="s">
        <v>569</v>
      </c>
      <c r="Z199" t="s">
        <v>569</v>
      </c>
      <c r="AA199" t="s">
        <v>1229</v>
      </c>
      <c r="AB199">
        <v>50</v>
      </c>
      <c r="AC1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0" spans="1:29" x14ac:dyDescent="0.25">
      <c r="A200" t="s">
        <v>1409</v>
      </c>
      <c r="B200" t="s">
        <v>505</v>
      </c>
      <c r="C200" t="s">
        <v>504</v>
      </c>
      <c r="D200" t="s">
        <v>501</v>
      </c>
      <c r="E200" t="s">
        <v>502</v>
      </c>
      <c r="F200" t="s">
        <v>569</v>
      </c>
      <c r="G200" t="s">
        <v>569</v>
      </c>
      <c r="H200" t="s">
        <v>569</v>
      </c>
      <c r="I200" t="s">
        <v>569</v>
      </c>
      <c r="J200" t="s">
        <v>569</v>
      </c>
      <c r="K200" t="s">
        <v>569</v>
      </c>
      <c r="L200" t="s">
        <v>569</v>
      </c>
      <c r="M200" t="s">
        <v>569</v>
      </c>
      <c r="N200" t="s">
        <v>569</v>
      </c>
      <c r="O200" t="s">
        <v>569</v>
      </c>
      <c r="P200" t="s">
        <v>569</v>
      </c>
      <c r="Q200" t="s">
        <v>569</v>
      </c>
      <c r="R200" t="s">
        <v>569</v>
      </c>
      <c r="S200" t="s">
        <v>569</v>
      </c>
      <c r="T200" t="s">
        <v>569</v>
      </c>
      <c r="U200" t="s">
        <v>569</v>
      </c>
      <c r="V200" t="s">
        <v>569</v>
      </c>
      <c r="W200" t="s">
        <v>569</v>
      </c>
      <c r="X200" t="s">
        <v>569</v>
      </c>
      <c r="Y200" t="s">
        <v>569</v>
      </c>
      <c r="Z200" t="s">
        <v>569</v>
      </c>
      <c r="AA200" t="s">
        <v>569</v>
      </c>
      <c r="AB200">
        <v>50</v>
      </c>
      <c r="AC20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1" spans="1:29" x14ac:dyDescent="0.25">
      <c r="A201" t="s">
        <v>1364</v>
      </c>
      <c r="B201" t="s">
        <v>500</v>
      </c>
      <c r="C201" t="s">
        <v>504</v>
      </c>
      <c r="D201" t="s">
        <v>501</v>
      </c>
      <c r="E201" t="s">
        <v>502</v>
      </c>
      <c r="F201" t="s">
        <v>569</v>
      </c>
      <c r="G201" t="s">
        <v>569</v>
      </c>
      <c r="H201" t="s">
        <v>569</v>
      </c>
      <c r="I201" t="s">
        <v>569</v>
      </c>
      <c r="J201" t="s">
        <v>569</v>
      </c>
      <c r="K201" t="s">
        <v>569</v>
      </c>
      <c r="L201" t="s">
        <v>569</v>
      </c>
      <c r="M201" t="s">
        <v>569</v>
      </c>
      <c r="N201" t="s">
        <v>569</v>
      </c>
      <c r="O201" t="s">
        <v>569</v>
      </c>
      <c r="P201" t="s">
        <v>569</v>
      </c>
      <c r="Q201" t="s">
        <v>569</v>
      </c>
      <c r="R201" t="s">
        <v>569</v>
      </c>
      <c r="S201" t="s">
        <v>569</v>
      </c>
      <c r="T201" t="s">
        <v>569</v>
      </c>
      <c r="U201" t="s">
        <v>569</v>
      </c>
      <c r="V201" t="s">
        <v>569</v>
      </c>
      <c r="W201" t="s">
        <v>569</v>
      </c>
      <c r="X201" t="s">
        <v>569</v>
      </c>
      <c r="Y201" t="s">
        <v>569</v>
      </c>
      <c r="Z201" t="s">
        <v>569</v>
      </c>
      <c r="AA201" t="s">
        <v>569</v>
      </c>
      <c r="AB201">
        <v>50</v>
      </c>
      <c r="AC20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2" spans="1:29" x14ac:dyDescent="0.25">
      <c r="A202" t="s">
        <v>511</v>
      </c>
      <c r="B202" t="s">
        <v>505</v>
      </c>
      <c r="C202" t="s">
        <v>504</v>
      </c>
      <c r="D202" t="s">
        <v>501</v>
      </c>
      <c r="E202" t="s">
        <v>502</v>
      </c>
      <c r="F202" t="s">
        <v>569</v>
      </c>
      <c r="G202" t="s">
        <v>569</v>
      </c>
      <c r="H202" t="s">
        <v>569</v>
      </c>
      <c r="I202" t="s">
        <v>569</v>
      </c>
      <c r="J202" t="s">
        <v>569</v>
      </c>
      <c r="K202">
        <v>0</v>
      </c>
      <c r="L202" t="s">
        <v>569</v>
      </c>
      <c r="M202" t="s">
        <v>569</v>
      </c>
      <c r="N202" t="s">
        <v>569</v>
      </c>
      <c r="O202" t="s">
        <v>569</v>
      </c>
      <c r="P202" t="s">
        <v>569</v>
      </c>
      <c r="Q202" t="s">
        <v>569</v>
      </c>
      <c r="R202">
        <v>48.458728090000001</v>
      </c>
      <c r="S202" t="s">
        <v>1213</v>
      </c>
      <c r="T202">
        <v>-123.4596616</v>
      </c>
      <c r="U202" t="s">
        <v>1206</v>
      </c>
      <c r="V202" t="s">
        <v>569</v>
      </c>
      <c r="W202" t="s">
        <v>569</v>
      </c>
      <c r="X202" t="s">
        <v>569</v>
      </c>
      <c r="Y202" t="s">
        <v>569</v>
      </c>
      <c r="Z202" t="s">
        <v>569</v>
      </c>
      <c r="AA202" t="s">
        <v>1229</v>
      </c>
      <c r="AB202">
        <v>50</v>
      </c>
      <c r="AC2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3" spans="1:29" x14ac:dyDescent="0.25">
      <c r="A203" t="s">
        <v>746</v>
      </c>
      <c r="B203" t="s">
        <v>745</v>
      </c>
      <c r="C203" t="s">
        <v>504</v>
      </c>
      <c r="D203" t="s">
        <v>501</v>
      </c>
      <c r="E203" t="s">
        <v>502</v>
      </c>
      <c r="F203" t="s">
        <v>569</v>
      </c>
      <c r="G203" t="s">
        <v>569</v>
      </c>
      <c r="H203" t="s">
        <v>569</v>
      </c>
      <c r="I203" t="s">
        <v>569</v>
      </c>
      <c r="J203" t="s">
        <v>569</v>
      </c>
      <c r="K203">
        <v>0</v>
      </c>
      <c r="L203" t="s">
        <v>569</v>
      </c>
      <c r="M203" t="s">
        <v>569</v>
      </c>
      <c r="N203" t="s">
        <v>569</v>
      </c>
      <c r="O203" t="s">
        <v>569</v>
      </c>
      <c r="P203" t="s">
        <v>569</v>
      </c>
      <c r="Q203" t="s">
        <v>569</v>
      </c>
      <c r="R203">
        <v>48.689963540000001</v>
      </c>
      <c r="S203" t="s">
        <v>1213</v>
      </c>
      <c r="T203">
        <v>-123.5845774</v>
      </c>
      <c r="U203" t="s">
        <v>1206</v>
      </c>
      <c r="V203" t="s">
        <v>569</v>
      </c>
      <c r="W203" t="s">
        <v>569</v>
      </c>
      <c r="X203" t="s">
        <v>569</v>
      </c>
      <c r="Y203" t="s">
        <v>569</v>
      </c>
      <c r="Z203" s="9">
        <v>0</v>
      </c>
      <c r="AA203" t="s">
        <v>1229</v>
      </c>
      <c r="AB203">
        <v>50</v>
      </c>
      <c r="AC2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4" spans="1:29" x14ac:dyDescent="0.25">
      <c r="A204" t="s">
        <v>1374</v>
      </c>
      <c r="B204" t="s">
        <v>557</v>
      </c>
      <c r="C204" t="s">
        <v>504</v>
      </c>
      <c r="D204" t="s">
        <v>501</v>
      </c>
      <c r="E204" t="s">
        <v>502</v>
      </c>
      <c r="F204" t="s">
        <v>569</v>
      </c>
      <c r="G204" t="s">
        <v>569</v>
      </c>
      <c r="H204" t="s">
        <v>569</v>
      </c>
      <c r="I204" t="s">
        <v>569</v>
      </c>
      <c r="J204" t="s">
        <v>569</v>
      </c>
      <c r="K204" t="s">
        <v>569</v>
      </c>
      <c r="L204" t="s">
        <v>569</v>
      </c>
      <c r="M204" t="s">
        <v>569</v>
      </c>
      <c r="N204" t="s">
        <v>569</v>
      </c>
      <c r="O204" t="s">
        <v>569</v>
      </c>
      <c r="P204" t="s">
        <v>569</v>
      </c>
      <c r="Q204" t="s">
        <v>569</v>
      </c>
      <c r="R204" t="s">
        <v>569</v>
      </c>
      <c r="S204" t="s">
        <v>569</v>
      </c>
      <c r="T204" t="s">
        <v>569</v>
      </c>
      <c r="U204" t="s">
        <v>569</v>
      </c>
      <c r="V204" t="s">
        <v>569</v>
      </c>
      <c r="W204" t="s">
        <v>569</v>
      </c>
      <c r="X204" t="s">
        <v>569</v>
      </c>
      <c r="Y204" t="s">
        <v>569</v>
      </c>
      <c r="Z204" t="s">
        <v>569</v>
      </c>
      <c r="AA204" t="s">
        <v>569</v>
      </c>
      <c r="AB204">
        <v>50</v>
      </c>
      <c r="AC20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5" spans="1:29" x14ac:dyDescent="0.25">
      <c r="A205" t="s">
        <v>1245</v>
      </c>
      <c r="B205" t="s">
        <v>1005</v>
      </c>
      <c r="C205" t="s">
        <v>1235</v>
      </c>
      <c r="D205" t="s">
        <v>1006</v>
      </c>
      <c r="E205" t="s">
        <v>1236</v>
      </c>
      <c r="F205" t="s">
        <v>569</v>
      </c>
      <c r="G205" t="s">
        <v>569</v>
      </c>
      <c r="H205" t="s">
        <v>569</v>
      </c>
      <c r="I205" t="s">
        <v>569</v>
      </c>
      <c r="J205" t="s">
        <v>569</v>
      </c>
      <c r="K205" t="s">
        <v>569</v>
      </c>
      <c r="L205" t="s">
        <v>569</v>
      </c>
      <c r="M205" t="s">
        <v>569</v>
      </c>
      <c r="N205" t="s">
        <v>569</v>
      </c>
      <c r="O205" t="s">
        <v>569</v>
      </c>
      <c r="P205" t="s">
        <v>569</v>
      </c>
      <c r="Q205" t="s">
        <v>569</v>
      </c>
      <c r="R205">
        <v>51.500610010000003</v>
      </c>
      <c r="S205" t="s">
        <v>1213</v>
      </c>
      <c r="T205">
        <v>-0.21699231599999999</v>
      </c>
      <c r="U205" t="s">
        <v>1206</v>
      </c>
      <c r="V205" t="s">
        <v>569</v>
      </c>
      <c r="W205" t="s">
        <v>569</v>
      </c>
      <c r="X205" t="s">
        <v>569</v>
      </c>
      <c r="Y205" t="s">
        <v>569</v>
      </c>
      <c r="Z205" t="s">
        <v>569</v>
      </c>
      <c r="AA205" t="s">
        <v>1230</v>
      </c>
      <c r="AB205">
        <v>50</v>
      </c>
      <c r="AC20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6" spans="1:29" x14ac:dyDescent="0.25">
      <c r="A206" t="s">
        <v>961</v>
      </c>
      <c r="B206" t="s">
        <v>505</v>
      </c>
      <c r="C206" t="s">
        <v>504</v>
      </c>
      <c r="D206" t="s">
        <v>501</v>
      </c>
      <c r="E206" t="s">
        <v>502</v>
      </c>
      <c r="F206" t="s">
        <v>569</v>
      </c>
      <c r="G206" t="s">
        <v>569</v>
      </c>
      <c r="H206" t="s">
        <v>569</v>
      </c>
      <c r="I206" t="s">
        <v>569</v>
      </c>
      <c r="J206">
        <v>27.95815296</v>
      </c>
      <c r="K206">
        <v>0</v>
      </c>
      <c r="L206">
        <v>157.57844470000001</v>
      </c>
      <c r="M206" t="s">
        <v>1204</v>
      </c>
      <c r="N206" t="s">
        <v>569</v>
      </c>
      <c r="O206">
        <v>65</v>
      </c>
      <c r="P206">
        <v>157.57844470000001</v>
      </c>
      <c r="Q206" t="s">
        <v>1204</v>
      </c>
      <c r="R206">
        <v>48.45255556</v>
      </c>
      <c r="S206" t="s">
        <v>1213</v>
      </c>
      <c r="T206">
        <v>-123.3698806</v>
      </c>
      <c r="U206" t="s">
        <v>1206</v>
      </c>
      <c r="V206" t="s">
        <v>569</v>
      </c>
      <c r="W206" t="s">
        <v>569</v>
      </c>
      <c r="X206">
        <v>0</v>
      </c>
      <c r="Y206" t="s">
        <v>1214</v>
      </c>
      <c r="Z206" t="s">
        <v>569</v>
      </c>
      <c r="AA206" t="s">
        <v>1229</v>
      </c>
      <c r="AB206">
        <v>50</v>
      </c>
      <c r="AC20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7" spans="1:29" x14ac:dyDescent="0.25">
      <c r="A207" t="s">
        <v>744</v>
      </c>
      <c r="B207" t="s">
        <v>505</v>
      </c>
      <c r="C207" t="s">
        <v>504</v>
      </c>
      <c r="D207" t="s">
        <v>501</v>
      </c>
      <c r="E207" t="s">
        <v>502</v>
      </c>
      <c r="F207" t="s">
        <v>569</v>
      </c>
      <c r="G207" t="s">
        <v>569</v>
      </c>
      <c r="H207" t="s">
        <v>569</v>
      </c>
      <c r="I207" t="s">
        <v>569</v>
      </c>
      <c r="J207" t="s">
        <v>569</v>
      </c>
      <c r="K207">
        <v>0</v>
      </c>
      <c r="L207" t="s">
        <v>569</v>
      </c>
      <c r="M207" t="s">
        <v>569</v>
      </c>
      <c r="N207" t="s">
        <v>569</v>
      </c>
      <c r="O207" t="s">
        <v>569</v>
      </c>
      <c r="P207" t="s">
        <v>569</v>
      </c>
      <c r="Q207" t="s">
        <v>569</v>
      </c>
      <c r="R207">
        <v>48.469397579999999</v>
      </c>
      <c r="S207" t="s">
        <v>1213</v>
      </c>
      <c r="T207">
        <v>-123.40736390000001</v>
      </c>
      <c r="U207" t="s">
        <v>1206</v>
      </c>
      <c r="V207" t="s">
        <v>569</v>
      </c>
      <c r="W207" t="s">
        <v>569</v>
      </c>
      <c r="X207" t="s">
        <v>569</v>
      </c>
      <c r="Y207" t="s">
        <v>569</v>
      </c>
      <c r="Z207" t="s">
        <v>569</v>
      </c>
      <c r="AA207" t="s">
        <v>1229</v>
      </c>
      <c r="AB207">
        <v>50</v>
      </c>
      <c r="AC20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8" spans="1:29" x14ac:dyDescent="0.25">
      <c r="A208" t="s">
        <v>909</v>
      </c>
      <c r="B208" t="s">
        <v>505</v>
      </c>
      <c r="C208" t="s">
        <v>504</v>
      </c>
      <c r="D208" t="s">
        <v>501</v>
      </c>
      <c r="E208" t="s">
        <v>502</v>
      </c>
      <c r="F208" t="s">
        <v>569</v>
      </c>
      <c r="G208" t="s">
        <v>569</v>
      </c>
      <c r="H208" t="s">
        <v>569</v>
      </c>
      <c r="I208" t="s">
        <v>569</v>
      </c>
      <c r="J208" t="s">
        <v>569</v>
      </c>
      <c r="K208">
        <v>0</v>
      </c>
      <c r="L208" t="s">
        <v>569</v>
      </c>
      <c r="M208" t="s">
        <v>569</v>
      </c>
      <c r="N208" t="s">
        <v>569</v>
      </c>
      <c r="O208" t="s">
        <v>569</v>
      </c>
      <c r="P208" t="s">
        <v>569</v>
      </c>
      <c r="Q208" t="s">
        <v>569</v>
      </c>
      <c r="R208">
        <v>48.469594979999997</v>
      </c>
      <c r="S208" t="s">
        <v>1213</v>
      </c>
      <c r="T208">
        <v>-123.4074014</v>
      </c>
      <c r="U208" t="s">
        <v>1206</v>
      </c>
      <c r="V208" t="s">
        <v>569</v>
      </c>
      <c r="W208" t="s">
        <v>569</v>
      </c>
      <c r="X208" t="s">
        <v>569</v>
      </c>
      <c r="Y208" t="s">
        <v>569</v>
      </c>
      <c r="Z208" t="s">
        <v>569</v>
      </c>
      <c r="AA208" t="s">
        <v>1229</v>
      </c>
      <c r="AB208">
        <v>50</v>
      </c>
      <c r="AC20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09" spans="1:29" x14ac:dyDescent="0.25">
      <c r="A209" t="s">
        <v>1366</v>
      </c>
      <c r="B209" t="s">
        <v>557</v>
      </c>
      <c r="C209" t="s">
        <v>504</v>
      </c>
      <c r="D209" t="s">
        <v>501</v>
      </c>
      <c r="E209" t="s">
        <v>502</v>
      </c>
      <c r="F209" t="s">
        <v>569</v>
      </c>
      <c r="G209" t="s">
        <v>569</v>
      </c>
      <c r="H209" t="s">
        <v>569</v>
      </c>
      <c r="I209" t="s">
        <v>569</v>
      </c>
      <c r="J209" t="s">
        <v>569</v>
      </c>
      <c r="K209" t="s">
        <v>569</v>
      </c>
      <c r="L209" t="s">
        <v>569</v>
      </c>
      <c r="M209" t="s">
        <v>569</v>
      </c>
      <c r="N209" t="s">
        <v>569</v>
      </c>
      <c r="O209" t="s">
        <v>569</v>
      </c>
      <c r="P209" t="s">
        <v>569</v>
      </c>
      <c r="Q209" t="s">
        <v>569</v>
      </c>
      <c r="R209" t="s">
        <v>569</v>
      </c>
      <c r="S209" t="s">
        <v>569</v>
      </c>
      <c r="T209" t="s">
        <v>569</v>
      </c>
      <c r="U209" t="s">
        <v>569</v>
      </c>
      <c r="V209" t="s">
        <v>569</v>
      </c>
      <c r="W209" t="s">
        <v>569</v>
      </c>
      <c r="X209" t="s">
        <v>569</v>
      </c>
      <c r="Y209" t="s">
        <v>569</v>
      </c>
      <c r="Z209" t="s">
        <v>569</v>
      </c>
      <c r="AA209" t="s">
        <v>569</v>
      </c>
      <c r="AB209">
        <v>50</v>
      </c>
      <c r="AC20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0" spans="1:29" x14ac:dyDescent="0.25">
      <c r="A210" t="s">
        <v>921</v>
      </c>
      <c r="B210" t="s">
        <v>916</v>
      </c>
      <c r="C210" t="s">
        <v>504</v>
      </c>
      <c r="D210" t="s">
        <v>501</v>
      </c>
      <c r="E210" t="s">
        <v>502</v>
      </c>
      <c r="F210" t="s">
        <v>569</v>
      </c>
      <c r="G210" t="s">
        <v>569</v>
      </c>
      <c r="H210" t="s">
        <v>569</v>
      </c>
      <c r="I210" t="s">
        <v>569</v>
      </c>
      <c r="J210" t="s">
        <v>569</v>
      </c>
      <c r="K210">
        <v>0</v>
      </c>
      <c r="L210" t="s">
        <v>569</v>
      </c>
      <c r="M210" t="s">
        <v>569</v>
      </c>
      <c r="N210" t="s">
        <v>569</v>
      </c>
      <c r="O210" t="s">
        <v>569</v>
      </c>
      <c r="P210" t="s">
        <v>569</v>
      </c>
      <c r="Q210" t="s">
        <v>569</v>
      </c>
      <c r="R210">
        <v>49.082731320000001</v>
      </c>
      <c r="S210" t="s">
        <v>1213</v>
      </c>
      <c r="T210">
        <v>-122.06415389999999</v>
      </c>
      <c r="U210" t="s">
        <v>1206</v>
      </c>
      <c r="V210" t="s">
        <v>569</v>
      </c>
      <c r="W210" t="s">
        <v>569</v>
      </c>
      <c r="X210" t="s">
        <v>569</v>
      </c>
      <c r="Y210" t="s">
        <v>569</v>
      </c>
      <c r="Z210" t="s">
        <v>569</v>
      </c>
      <c r="AA210" t="s">
        <v>1229</v>
      </c>
      <c r="AB210">
        <v>50</v>
      </c>
      <c r="AC21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1" spans="1:29" x14ac:dyDescent="0.25">
      <c r="A211" t="s">
        <v>1250</v>
      </c>
      <c r="B211" t="s">
        <v>1005</v>
      </c>
      <c r="C211" t="s">
        <v>1235</v>
      </c>
      <c r="D211" t="s">
        <v>1006</v>
      </c>
      <c r="E211" t="s">
        <v>1236</v>
      </c>
      <c r="F211" t="s">
        <v>569</v>
      </c>
      <c r="G211" t="s">
        <v>569</v>
      </c>
      <c r="H211" t="s">
        <v>569</v>
      </c>
      <c r="I211" t="s">
        <v>569</v>
      </c>
      <c r="J211" t="s">
        <v>569</v>
      </c>
      <c r="K211" t="s">
        <v>569</v>
      </c>
      <c r="L211" t="s">
        <v>569</v>
      </c>
      <c r="M211" t="s">
        <v>569</v>
      </c>
      <c r="N211" t="s">
        <v>569</v>
      </c>
      <c r="O211" t="s">
        <v>569</v>
      </c>
      <c r="P211" t="s">
        <v>569</v>
      </c>
      <c r="Q211" t="s">
        <v>569</v>
      </c>
      <c r="R211">
        <v>51.52390802</v>
      </c>
      <c r="S211" t="s">
        <v>1213</v>
      </c>
      <c r="T211">
        <v>-0.192650509</v>
      </c>
      <c r="U211" t="s">
        <v>1206</v>
      </c>
      <c r="V211" t="s">
        <v>569</v>
      </c>
      <c r="W211" t="s">
        <v>569</v>
      </c>
      <c r="X211" t="s">
        <v>569</v>
      </c>
      <c r="Y211" t="s">
        <v>569</v>
      </c>
      <c r="Z211" t="s">
        <v>569</v>
      </c>
      <c r="AA211" t="s">
        <v>1230</v>
      </c>
      <c r="AB211">
        <v>50</v>
      </c>
      <c r="AC2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2" spans="1:29" x14ac:dyDescent="0.25">
      <c r="A212" t="s">
        <v>809</v>
      </c>
      <c r="B212" t="s">
        <v>505</v>
      </c>
      <c r="C212" t="s">
        <v>504</v>
      </c>
      <c r="D212" t="s">
        <v>501</v>
      </c>
      <c r="E212" t="s">
        <v>502</v>
      </c>
      <c r="F212" t="s">
        <v>569</v>
      </c>
      <c r="G212" t="s">
        <v>569</v>
      </c>
      <c r="H212" t="s">
        <v>569</v>
      </c>
      <c r="I212" t="s">
        <v>569</v>
      </c>
      <c r="J212" t="s">
        <v>569</v>
      </c>
      <c r="K212">
        <v>0</v>
      </c>
      <c r="L212" t="s">
        <v>569</v>
      </c>
      <c r="M212" t="s">
        <v>569</v>
      </c>
      <c r="N212" t="s">
        <v>569</v>
      </c>
      <c r="O212" t="s">
        <v>569</v>
      </c>
      <c r="P212" t="s">
        <v>569</v>
      </c>
      <c r="Q212" t="s">
        <v>569</v>
      </c>
      <c r="R212">
        <v>48.464656910000002</v>
      </c>
      <c r="S212" t="s">
        <v>1213</v>
      </c>
      <c r="T212">
        <v>-123.4861174</v>
      </c>
      <c r="U212" t="s">
        <v>1206</v>
      </c>
      <c r="V212" t="s">
        <v>569</v>
      </c>
      <c r="W212" t="s">
        <v>569</v>
      </c>
      <c r="X212" t="s">
        <v>569</v>
      </c>
      <c r="Y212" t="s">
        <v>569</v>
      </c>
      <c r="Z212" t="s">
        <v>569</v>
      </c>
      <c r="AA212" t="s">
        <v>1229</v>
      </c>
      <c r="AB212">
        <v>50</v>
      </c>
      <c r="AC2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3" spans="1:29" x14ac:dyDescent="0.25">
      <c r="A213" t="s">
        <v>883</v>
      </c>
      <c r="B213" t="s">
        <v>505</v>
      </c>
      <c r="C213" t="s">
        <v>504</v>
      </c>
      <c r="D213" t="s">
        <v>501</v>
      </c>
      <c r="E213" t="s">
        <v>502</v>
      </c>
      <c r="F213" t="s">
        <v>569</v>
      </c>
      <c r="G213" t="s">
        <v>569</v>
      </c>
      <c r="H213" t="s">
        <v>569</v>
      </c>
      <c r="I213" t="s">
        <v>569</v>
      </c>
      <c r="J213" t="s">
        <v>569</v>
      </c>
      <c r="K213">
        <v>0</v>
      </c>
      <c r="L213" t="s">
        <v>569</v>
      </c>
      <c r="M213" t="s">
        <v>569</v>
      </c>
      <c r="N213" t="s">
        <v>569</v>
      </c>
      <c r="O213" t="s">
        <v>569</v>
      </c>
      <c r="P213" t="s">
        <v>569</v>
      </c>
      <c r="Q213" t="s">
        <v>569</v>
      </c>
      <c r="R213">
        <v>48.497198150000003</v>
      </c>
      <c r="S213" t="s">
        <v>1213</v>
      </c>
      <c r="T213">
        <v>-123.39522820000001</v>
      </c>
      <c r="U213" t="s">
        <v>1206</v>
      </c>
      <c r="V213" t="s">
        <v>569</v>
      </c>
      <c r="W213" t="s">
        <v>569</v>
      </c>
      <c r="X213" t="s">
        <v>569</v>
      </c>
      <c r="Y213" t="s">
        <v>569</v>
      </c>
      <c r="Z213" t="s">
        <v>569</v>
      </c>
      <c r="AA213" t="s">
        <v>1229</v>
      </c>
      <c r="AB213">
        <v>50</v>
      </c>
      <c r="AC2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4" spans="1:29" x14ac:dyDescent="0.25">
      <c r="A214" t="s">
        <v>1369</v>
      </c>
      <c r="B214" t="s">
        <v>557</v>
      </c>
      <c r="C214" t="s">
        <v>504</v>
      </c>
      <c r="D214" t="s">
        <v>501</v>
      </c>
      <c r="E214" t="s">
        <v>502</v>
      </c>
      <c r="F214" t="s">
        <v>569</v>
      </c>
      <c r="G214" t="s">
        <v>569</v>
      </c>
      <c r="H214" t="s">
        <v>569</v>
      </c>
      <c r="I214" t="s">
        <v>569</v>
      </c>
      <c r="J214" t="s">
        <v>569</v>
      </c>
      <c r="K214" t="s">
        <v>569</v>
      </c>
      <c r="L214" t="s">
        <v>569</v>
      </c>
      <c r="M214" t="s">
        <v>569</v>
      </c>
      <c r="N214" t="s">
        <v>569</v>
      </c>
      <c r="O214" t="s">
        <v>569</v>
      </c>
      <c r="P214" t="s">
        <v>569</v>
      </c>
      <c r="Q214" t="s">
        <v>569</v>
      </c>
      <c r="R214" t="s">
        <v>569</v>
      </c>
      <c r="S214" t="s">
        <v>569</v>
      </c>
      <c r="T214" t="s">
        <v>569</v>
      </c>
      <c r="U214" t="s">
        <v>569</v>
      </c>
      <c r="V214" t="s">
        <v>569</v>
      </c>
      <c r="W214" t="s">
        <v>569</v>
      </c>
      <c r="X214" t="s">
        <v>569</v>
      </c>
      <c r="Y214" t="s">
        <v>569</v>
      </c>
      <c r="Z214" t="s">
        <v>569</v>
      </c>
      <c r="AA214" t="s">
        <v>569</v>
      </c>
      <c r="AB214">
        <v>50</v>
      </c>
      <c r="AC21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5" spans="1:29" x14ac:dyDescent="0.25">
      <c r="A215" t="s">
        <v>924</v>
      </c>
      <c r="B215" t="s">
        <v>835</v>
      </c>
      <c r="C215" t="s">
        <v>504</v>
      </c>
      <c r="D215" t="s">
        <v>501</v>
      </c>
      <c r="E215" t="s">
        <v>502</v>
      </c>
      <c r="F215" t="s">
        <v>569</v>
      </c>
      <c r="G215" t="s">
        <v>569</v>
      </c>
      <c r="H215" t="s">
        <v>569</v>
      </c>
      <c r="I215" t="s">
        <v>569</v>
      </c>
      <c r="J215" t="s">
        <v>569</v>
      </c>
      <c r="K215">
        <v>0</v>
      </c>
      <c r="L215" t="s">
        <v>569</v>
      </c>
      <c r="M215" t="s">
        <v>569</v>
      </c>
      <c r="N215" t="s">
        <v>569</v>
      </c>
      <c r="O215" t="s">
        <v>569</v>
      </c>
      <c r="P215" t="s">
        <v>569</v>
      </c>
      <c r="Q215" t="s">
        <v>569</v>
      </c>
      <c r="R215">
        <v>49.169493060000001</v>
      </c>
      <c r="S215" t="s">
        <v>1213</v>
      </c>
      <c r="T215">
        <v>-121.94205030000001</v>
      </c>
      <c r="U215" t="s">
        <v>1206</v>
      </c>
      <c r="V215" t="s">
        <v>569</v>
      </c>
      <c r="W215" t="s">
        <v>569</v>
      </c>
      <c r="X215" t="s">
        <v>569</v>
      </c>
      <c r="Y215" t="s">
        <v>569</v>
      </c>
      <c r="Z215" t="s">
        <v>569</v>
      </c>
      <c r="AA215" t="s">
        <v>1229</v>
      </c>
      <c r="AB215">
        <v>50</v>
      </c>
      <c r="AC2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6" spans="1:29" x14ac:dyDescent="0.25">
      <c r="A216" t="s">
        <v>711</v>
      </c>
      <c r="B216" t="s">
        <v>710</v>
      </c>
      <c r="C216" t="s">
        <v>505</v>
      </c>
      <c r="D216" t="s">
        <v>522</v>
      </c>
      <c r="E216" t="s">
        <v>523</v>
      </c>
      <c r="F216" t="s">
        <v>569</v>
      </c>
      <c r="G216" t="s">
        <v>569</v>
      </c>
      <c r="H216" t="s">
        <v>569</v>
      </c>
      <c r="I216" t="s">
        <v>569</v>
      </c>
      <c r="J216" t="s">
        <v>569</v>
      </c>
      <c r="K216">
        <v>0</v>
      </c>
      <c r="L216" t="s">
        <v>569</v>
      </c>
      <c r="M216" t="s">
        <v>569</v>
      </c>
      <c r="N216" t="s">
        <v>569</v>
      </c>
      <c r="O216" t="s">
        <v>569</v>
      </c>
      <c r="P216" t="s">
        <v>569</v>
      </c>
      <c r="Q216" t="s">
        <v>569</v>
      </c>
      <c r="R216">
        <v>-37.728780120000003</v>
      </c>
      <c r="S216" t="s">
        <v>1111</v>
      </c>
      <c r="T216">
        <v>142.02011880000001</v>
      </c>
      <c r="U216" t="s">
        <v>1201</v>
      </c>
      <c r="V216" t="s">
        <v>569</v>
      </c>
      <c r="W216" t="s">
        <v>569</v>
      </c>
      <c r="X216" t="s">
        <v>569</v>
      </c>
      <c r="Y216" t="s">
        <v>569</v>
      </c>
      <c r="Z216" s="9">
        <v>0</v>
      </c>
      <c r="AA216" t="s">
        <v>1229</v>
      </c>
      <c r="AB216">
        <v>50</v>
      </c>
      <c r="AC2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7" spans="1:29" x14ac:dyDescent="0.25">
      <c r="A217" t="s">
        <v>902</v>
      </c>
      <c r="B217" t="s">
        <v>896</v>
      </c>
      <c r="C217" t="s">
        <v>504</v>
      </c>
      <c r="D217" t="s">
        <v>501</v>
      </c>
      <c r="E217" t="s">
        <v>502</v>
      </c>
      <c r="F217" t="s">
        <v>569</v>
      </c>
      <c r="G217" t="s">
        <v>569</v>
      </c>
      <c r="H217" t="s">
        <v>569</v>
      </c>
      <c r="I217" t="s">
        <v>569</v>
      </c>
      <c r="J217">
        <v>57.187810059999997</v>
      </c>
      <c r="K217">
        <v>0</v>
      </c>
      <c r="L217" t="s">
        <v>569</v>
      </c>
      <c r="M217" t="s">
        <v>569</v>
      </c>
      <c r="N217" t="s">
        <v>569</v>
      </c>
      <c r="O217" t="s">
        <v>569</v>
      </c>
      <c r="P217">
        <v>277.35702479999998</v>
      </c>
      <c r="Q217" t="s">
        <v>1205</v>
      </c>
      <c r="R217">
        <v>48.842964799999997</v>
      </c>
      <c r="S217" t="s">
        <v>1213</v>
      </c>
      <c r="T217">
        <v>-123.2789008</v>
      </c>
      <c r="U217" t="s">
        <v>1206</v>
      </c>
      <c r="V217" t="s">
        <v>1231</v>
      </c>
      <c r="W217" t="s">
        <v>569</v>
      </c>
      <c r="X217" t="s">
        <v>569</v>
      </c>
      <c r="Y217" t="s">
        <v>569</v>
      </c>
      <c r="Z217" t="s">
        <v>569</v>
      </c>
      <c r="AA217" t="s">
        <v>1229</v>
      </c>
      <c r="AB217">
        <v>50</v>
      </c>
      <c r="AC2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8" spans="1:29" x14ac:dyDescent="0.25">
      <c r="A218" t="s">
        <v>1361</v>
      </c>
      <c r="B218" t="s">
        <v>896</v>
      </c>
      <c r="C218" t="s">
        <v>504</v>
      </c>
      <c r="D218" t="s">
        <v>501</v>
      </c>
      <c r="E218" t="s">
        <v>502</v>
      </c>
      <c r="F218" t="s">
        <v>569</v>
      </c>
      <c r="G218" t="s">
        <v>569</v>
      </c>
      <c r="H218" t="s">
        <v>569</v>
      </c>
      <c r="I218" t="s">
        <v>569</v>
      </c>
      <c r="J218" t="s">
        <v>569</v>
      </c>
      <c r="K218" t="s">
        <v>569</v>
      </c>
      <c r="L218" t="s">
        <v>569</v>
      </c>
      <c r="M218" t="s">
        <v>569</v>
      </c>
      <c r="N218" t="s">
        <v>569</v>
      </c>
      <c r="O218" t="s">
        <v>569</v>
      </c>
      <c r="P218" t="s">
        <v>569</v>
      </c>
      <c r="Q218" t="s">
        <v>569</v>
      </c>
      <c r="R218" t="s">
        <v>569</v>
      </c>
      <c r="S218" t="s">
        <v>569</v>
      </c>
      <c r="T218" t="s">
        <v>569</v>
      </c>
      <c r="U218" t="s">
        <v>569</v>
      </c>
      <c r="V218" t="s">
        <v>569</v>
      </c>
      <c r="W218" t="s">
        <v>569</v>
      </c>
      <c r="X218" t="s">
        <v>569</v>
      </c>
      <c r="Y218" t="s">
        <v>569</v>
      </c>
      <c r="Z218" t="s">
        <v>569</v>
      </c>
      <c r="AA218" t="s">
        <v>569</v>
      </c>
      <c r="AB218">
        <v>50</v>
      </c>
      <c r="AC21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19" spans="1:29" x14ac:dyDescent="0.25">
      <c r="A219" t="s">
        <v>1355</v>
      </c>
      <c r="B219" t="s">
        <v>5</v>
      </c>
      <c r="C219" t="s">
        <v>504</v>
      </c>
      <c r="D219" t="s">
        <v>501</v>
      </c>
      <c r="E219" t="s">
        <v>502</v>
      </c>
      <c r="F219" t="s">
        <v>569</v>
      </c>
      <c r="G219" t="s">
        <v>569</v>
      </c>
      <c r="H219" t="s">
        <v>569</v>
      </c>
      <c r="I219" t="s">
        <v>569</v>
      </c>
      <c r="J219" t="s">
        <v>569</v>
      </c>
      <c r="K219" t="s">
        <v>569</v>
      </c>
      <c r="L219" t="s">
        <v>569</v>
      </c>
      <c r="M219" t="s">
        <v>569</v>
      </c>
      <c r="N219" t="s">
        <v>569</v>
      </c>
      <c r="O219" t="s">
        <v>569</v>
      </c>
      <c r="P219" t="s">
        <v>569</v>
      </c>
      <c r="Q219" t="s">
        <v>569</v>
      </c>
      <c r="R219" t="s">
        <v>569</v>
      </c>
      <c r="S219" t="s">
        <v>569</v>
      </c>
      <c r="T219" t="s">
        <v>569</v>
      </c>
      <c r="U219" t="s">
        <v>569</v>
      </c>
      <c r="V219" t="s">
        <v>569</v>
      </c>
      <c r="W219" t="s">
        <v>569</v>
      </c>
      <c r="X219" t="s">
        <v>569</v>
      </c>
      <c r="Y219" t="s">
        <v>569</v>
      </c>
      <c r="Z219" t="s">
        <v>569</v>
      </c>
      <c r="AA219" t="s">
        <v>569</v>
      </c>
      <c r="AB219">
        <v>50</v>
      </c>
      <c r="AC21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0" spans="1:29" x14ac:dyDescent="0.25">
      <c r="A220" t="s">
        <v>1351</v>
      </c>
      <c r="B220" t="s">
        <v>835</v>
      </c>
      <c r="C220" t="s">
        <v>504</v>
      </c>
      <c r="D220" t="s">
        <v>501</v>
      </c>
      <c r="E220" t="s">
        <v>502</v>
      </c>
      <c r="F220" t="s">
        <v>569</v>
      </c>
      <c r="G220" t="s">
        <v>569</v>
      </c>
      <c r="H220" t="s">
        <v>569</v>
      </c>
      <c r="I220" t="s">
        <v>569</v>
      </c>
      <c r="J220" t="s">
        <v>569</v>
      </c>
      <c r="K220" t="s">
        <v>569</v>
      </c>
      <c r="L220" t="s">
        <v>569</v>
      </c>
      <c r="M220" t="s">
        <v>569</v>
      </c>
      <c r="N220" t="s">
        <v>569</v>
      </c>
      <c r="O220" t="s">
        <v>569</v>
      </c>
      <c r="P220" t="s">
        <v>569</v>
      </c>
      <c r="Q220" t="s">
        <v>569</v>
      </c>
      <c r="R220" t="s">
        <v>569</v>
      </c>
      <c r="S220" t="s">
        <v>569</v>
      </c>
      <c r="T220" t="s">
        <v>569</v>
      </c>
      <c r="U220" t="s">
        <v>569</v>
      </c>
      <c r="V220" t="s">
        <v>569</v>
      </c>
      <c r="W220" t="s">
        <v>569</v>
      </c>
      <c r="X220" t="s">
        <v>569</v>
      </c>
      <c r="Y220" t="s">
        <v>569</v>
      </c>
      <c r="Z220" t="s">
        <v>569</v>
      </c>
      <c r="AA220" t="s">
        <v>569</v>
      </c>
      <c r="AB220">
        <v>50</v>
      </c>
      <c r="AC22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1" spans="1:29" x14ac:dyDescent="0.25">
      <c r="A221" t="s">
        <v>811</v>
      </c>
      <c r="B221" t="s">
        <v>533</v>
      </c>
      <c r="C221" t="s">
        <v>504</v>
      </c>
      <c r="D221" t="s">
        <v>501</v>
      </c>
      <c r="E221" t="s">
        <v>502</v>
      </c>
      <c r="F221" t="s">
        <v>569</v>
      </c>
      <c r="G221" t="s">
        <v>569</v>
      </c>
      <c r="H221" t="s">
        <v>569</v>
      </c>
      <c r="I221" t="s">
        <v>569</v>
      </c>
      <c r="J221" t="s">
        <v>569</v>
      </c>
      <c r="K221">
        <v>0</v>
      </c>
      <c r="L221" t="s">
        <v>569</v>
      </c>
      <c r="M221" t="s">
        <v>569</v>
      </c>
      <c r="N221" t="s">
        <v>569</v>
      </c>
      <c r="O221" t="s">
        <v>569</v>
      </c>
      <c r="P221" t="s">
        <v>569</v>
      </c>
      <c r="Q221" t="s">
        <v>569</v>
      </c>
      <c r="R221">
        <v>48.382883290000002</v>
      </c>
      <c r="S221" t="s">
        <v>1213</v>
      </c>
      <c r="T221">
        <v>-123.711462</v>
      </c>
      <c r="U221" t="s">
        <v>1206</v>
      </c>
      <c r="V221" t="s">
        <v>569</v>
      </c>
      <c r="W221" t="s">
        <v>569</v>
      </c>
      <c r="X221" t="s">
        <v>569</v>
      </c>
      <c r="Y221" t="s">
        <v>569</v>
      </c>
      <c r="Z221" t="s">
        <v>569</v>
      </c>
      <c r="AA221" t="s">
        <v>1229</v>
      </c>
      <c r="AB221">
        <v>50</v>
      </c>
      <c r="AC2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2" spans="1:29" x14ac:dyDescent="0.25">
      <c r="A222" t="s">
        <v>1399</v>
      </c>
      <c r="B222" t="s">
        <v>513</v>
      </c>
      <c r="C222" t="s">
        <v>504</v>
      </c>
      <c r="D222" t="s">
        <v>501</v>
      </c>
      <c r="E222" t="s">
        <v>502</v>
      </c>
      <c r="F222" t="s">
        <v>569</v>
      </c>
      <c r="G222" t="s">
        <v>569</v>
      </c>
      <c r="H222" t="s">
        <v>569</v>
      </c>
      <c r="I222" t="s">
        <v>569</v>
      </c>
      <c r="J222" t="s">
        <v>569</v>
      </c>
      <c r="K222" t="s">
        <v>569</v>
      </c>
      <c r="L222" t="s">
        <v>569</v>
      </c>
      <c r="M222" t="s">
        <v>569</v>
      </c>
      <c r="N222" t="s">
        <v>569</v>
      </c>
      <c r="O222" t="s">
        <v>569</v>
      </c>
      <c r="P222" t="s">
        <v>569</v>
      </c>
      <c r="Q222" t="s">
        <v>569</v>
      </c>
      <c r="R222" t="s">
        <v>569</v>
      </c>
      <c r="S222" t="s">
        <v>569</v>
      </c>
      <c r="T222" t="s">
        <v>569</v>
      </c>
      <c r="U222" t="s">
        <v>569</v>
      </c>
      <c r="V222" t="s">
        <v>569</v>
      </c>
      <c r="W222" t="s">
        <v>569</v>
      </c>
      <c r="X222" t="s">
        <v>569</v>
      </c>
      <c r="Y222" t="s">
        <v>569</v>
      </c>
      <c r="Z222" t="s">
        <v>569</v>
      </c>
      <c r="AA222" t="s">
        <v>569</v>
      </c>
      <c r="AB222">
        <v>50</v>
      </c>
      <c r="AC22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3" spans="1:29" x14ac:dyDescent="0.25">
      <c r="A223" t="s">
        <v>1385</v>
      </c>
      <c r="B223" t="s">
        <v>533</v>
      </c>
      <c r="C223" t="s">
        <v>504</v>
      </c>
      <c r="D223" t="s">
        <v>501</v>
      </c>
      <c r="E223" t="s">
        <v>502</v>
      </c>
      <c r="F223" t="s">
        <v>569</v>
      </c>
      <c r="G223" t="s">
        <v>569</v>
      </c>
      <c r="H223" t="s">
        <v>569</v>
      </c>
      <c r="I223" t="s">
        <v>569</v>
      </c>
      <c r="J223" t="s">
        <v>569</v>
      </c>
      <c r="K223" t="s">
        <v>569</v>
      </c>
      <c r="L223" t="s">
        <v>569</v>
      </c>
      <c r="M223" t="s">
        <v>569</v>
      </c>
      <c r="N223" t="s">
        <v>569</v>
      </c>
      <c r="O223" t="s">
        <v>569</v>
      </c>
      <c r="P223" t="s">
        <v>569</v>
      </c>
      <c r="Q223" t="s">
        <v>569</v>
      </c>
      <c r="R223" t="s">
        <v>569</v>
      </c>
      <c r="S223" t="s">
        <v>569</v>
      </c>
      <c r="T223" t="s">
        <v>569</v>
      </c>
      <c r="U223" t="s">
        <v>569</v>
      </c>
      <c r="V223" t="s">
        <v>569</v>
      </c>
      <c r="W223" t="s">
        <v>569</v>
      </c>
      <c r="X223" t="s">
        <v>569</v>
      </c>
      <c r="Y223" t="s">
        <v>569</v>
      </c>
      <c r="Z223" t="s">
        <v>569</v>
      </c>
      <c r="AA223" t="s">
        <v>569</v>
      </c>
      <c r="AB223">
        <v>50</v>
      </c>
      <c r="AC22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4" spans="1:29" x14ac:dyDescent="0.25">
      <c r="A224" t="s">
        <v>1380</v>
      </c>
      <c r="B224" t="s">
        <v>557</v>
      </c>
      <c r="C224" t="s">
        <v>504</v>
      </c>
      <c r="D224" t="s">
        <v>501</v>
      </c>
      <c r="E224" t="s">
        <v>502</v>
      </c>
      <c r="F224" t="s">
        <v>569</v>
      </c>
      <c r="G224" t="s">
        <v>569</v>
      </c>
      <c r="H224" t="s">
        <v>569</v>
      </c>
      <c r="I224" t="s">
        <v>569</v>
      </c>
      <c r="J224" t="s">
        <v>569</v>
      </c>
      <c r="K224" t="s">
        <v>569</v>
      </c>
      <c r="L224" t="s">
        <v>569</v>
      </c>
      <c r="M224" t="s">
        <v>569</v>
      </c>
      <c r="N224" t="s">
        <v>569</v>
      </c>
      <c r="O224" t="s">
        <v>569</v>
      </c>
      <c r="P224" t="s">
        <v>569</v>
      </c>
      <c r="Q224" t="s">
        <v>569</v>
      </c>
      <c r="R224" t="s">
        <v>569</v>
      </c>
      <c r="S224" t="s">
        <v>569</v>
      </c>
      <c r="T224" t="s">
        <v>569</v>
      </c>
      <c r="U224" t="s">
        <v>569</v>
      </c>
      <c r="V224" t="s">
        <v>569</v>
      </c>
      <c r="W224" t="s">
        <v>569</v>
      </c>
      <c r="X224" t="s">
        <v>569</v>
      </c>
      <c r="Y224" t="s">
        <v>569</v>
      </c>
      <c r="Z224" t="s">
        <v>569</v>
      </c>
      <c r="AA224" t="s">
        <v>569</v>
      </c>
      <c r="AB224">
        <v>50</v>
      </c>
      <c r="AC22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5" spans="1:29" x14ac:dyDescent="0.25">
      <c r="A225" t="s">
        <v>524</v>
      </c>
      <c r="B225" t="s">
        <v>521</v>
      </c>
      <c r="C225" t="s">
        <v>525</v>
      </c>
      <c r="D225" t="s">
        <v>522</v>
      </c>
      <c r="E225" t="s">
        <v>523</v>
      </c>
      <c r="F225" t="s">
        <v>569</v>
      </c>
      <c r="G225" t="s">
        <v>569</v>
      </c>
      <c r="H225" t="s">
        <v>569</v>
      </c>
      <c r="I225" t="s">
        <v>569</v>
      </c>
      <c r="J225" t="s">
        <v>569</v>
      </c>
      <c r="K225">
        <v>0</v>
      </c>
      <c r="L225" t="s">
        <v>569</v>
      </c>
      <c r="M225" t="s">
        <v>569</v>
      </c>
      <c r="N225" t="s">
        <v>569</v>
      </c>
      <c r="O225" t="s">
        <v>569</v>
      </c>
      <c r="P225" t="s">
        <v>569</v>
      </c>
      <c r="Q225" t="s">
        <v>569</v>
      </c>
      <c r="R225">
        <v>-31.981133509999999</v>
      </c>
      <c r="S225" t="s">
        <v>1111</v>
      </c>
      <c r="T225">
        <v>115.8828503</v>
      </c>
      <c r="U225" t="s">
        <v>1201</v>
      </c>
      <c r="V225" t="s">
        <v>569</v>
      </c>
      <c r="W225" t="s">
        <v>569</v>
      </c>
      <c r="X225" t="s">
        <v>569</v>
      </c>
      <c r="Y225" t="s">
        <v>569</v>
      </c>
      <c r="Z225" s="9">
        <v>0</v>
      </c>
      <c r="AA225" t="s">
        <v>1229</v>
      </c>
      <c r="AB225">
        <v>50</v>
      </c>
      <c r="AC22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6" spans="1:29" x14ac:dyDescent="0.25">
      <c r="A226" t="s">
        <v>689</v>
      </c>
      <c r="B226" t="s">
        <v>675</v>
      </c>
      <c r="C226" t="s">
        <v>677</v>
      </c>
      <c r="D226" t="s">
        <v>522</v>
      </c>
      <c r="E226" t="s">
        <v>523</v>
      </c>
      <c r="F226" t="s">
        <v>569</v>
      </c>
      <c r="G226" t="s">
        <v>569</v>
      </c>
      <c r="H226" t="s">
        <v>569</v>
      </c>
      <c r="I226" t="s">
        <v>569</v>
      </c>
      <c r="J226" t="s">
        <v>569</v>
      </c>
      <c r="K226">
        <v>0</v>
      </c>
      <c r="L226" t="s">
        <v>569</v>
      </c>
      <c r="M226" t="s">
        <v>569</v>
      </c>
      <c r="N226" t="s">
        <v>569</v>
      </c>
      <c r="O226" t="s">
        <v>569</v>
      </c>
      <c r="P226" t="s">
        <v>569</v>
      </c>
      <c r="Q226" t="s">
        <v>569</v>
      </c>
      <c r="R226">
        <v>-31.47061708</v>
      </c>
      <c r="S226" t="s">
        <v>1111</v>
      </c>
      <c r="T226">
        <v>152.92197350000001</v>
      </c>
      <c r="U226" t="s">
        <v>1201</v>
      </c>
      <c r="V226" t="s">
        <v>569</v>
      </c>
      <c r="W226" t="s">
        <v>569</v>
      </c>
      <c r="X226" t="s">
        <v>569</v>
      </c>
      <c r="Y226" t="s">
        <v>569</v>
      </c>
      <c r="Z226" s="9">
        <v>0</v>
      </c>
      <c r="AA226" t="s">
        <v>1229</v>
      </c>
      <c r="AB226">
        <v>50</v>
      </c>
      <c r="AC2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7" spans="1:29" x14ac:dyDescent="0.25">
      <c r="A227" t="s">
        <v>635</v>
      </c>
      <c r="B227" t="s">
        <v>557</v>
      </c>
      <c r="C227" t="s">
        <v>504</v>
      </c>
      <c r="D227" t="s">
        <v>501</v>
      </c>
      <c r="E227" t="s">
        <v>502</v>
      </c>
      <c r="F227" t="s">
        <v>569</v>
      </c>
      <c r="G227" t="s">
        <v>569</v>
      </c>
      <c r="H227" t="s">
        <v>569</v>
      </c>
      <c r="I227" t="s">
        <v>569</v>
      </c>
      <c r="J227" t="s">
        <v>569</v>
      </c>
      <c r="K227">
        <v>0</v>
      </c>
      <c r="L227" t="s">
        <v>569</v>
      </c>
      <c r="M227" t="s">
        <v>569</v>
      </c>
      <c r="N227" t="s">
        <v>569</v>
      </c>
      <c r="O227" t="s">
        <v>569</v>
      </c>
      <c r="P227" t="s">
        <v>569</v>
      </c>
      <c r="Q227" t="s">
        <v>569</v>
      </c>
      <c r="R227">
        <v>49.81656941</v>
      </c>
      <c r="S227" t="s">
        <v>1213</v>
      </c>
      <c r="T227">
        <v>-124.5167537</v>
      </c>
      <c r="U227" t="s">
        <v>1206</v>
      </c>
      <c r="V227" t="s">
        <v>569</v>
      </c>
      <c r="W227" t="s">
        <v>569</v>
      </c>
      <c r="X227" t="s">
        <v>569</v>
      </c>
      <c r="Y227" t="s">
        <v>569</v>
      </c>
      <c r="Z227" t="s">
        <v>569</v>
      </c>
      <c r="AA227" t="s">
        <v>1229</v>
      </c>
      <c r="AB227">
        <v>50</v>
      </c>
      <c r="AC2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8" spans="1:29" x14ac:dyDescent="0.25">
      <c r="A228" t="s">
        <v>1405</v>
      </c>
      <c r="B228" t="s">
        <v>505</v>
      </c>
      <c r="C228" t="s">
        <v>504</v>
      </c>
      <c r="D228" t="s">
        <v>501</v>
      </c>
      <c r="E228" t="s">
        <v>502</v>
      </c>
      <c r="F228" t="s">
        <v>569</v>
      </c>
      <c r="G228" t="s">
        <v>569</v>
      </c>
      <c r="H228" t="s">
        <v>569</v>
      </c>
      <c r="I228" t="s">
        <v>569</v>
      </c>
      <c r="J228" t="s">
        <v>569</v>
      </c>
      <c r="K228" t="s">
        <v>569</v>
      </c>
      <c r="L228" t="s">
        <v>569</v>
      </c>
      <c r="M228" t="s">
        <v>569</v>
      </c>
      <c r="N228" t="s">
        <v>569</v>
      </c>
      <c r="O228" t="s">
        <v>569</v>
      </c>
      <c r="P228" t="s">
        <v>569</v>
      </c>
      <c r="Q228" t="s">
        <v>569</v>
      </c>
      <c r="R228" t="s">
        <v>569</v>
      </c>
      <c r="S228" t="s">
        <v>569</v>
      </c>
      <c r="T228" t="s">
        <v>569</v>
      </c>
      <c r="U228" t="s">
        <v>569</v>
      </c>
      <c r="V228" t="s">
        <v>569</v>
      </c>
      <c r="W228" t="s">
        <v>569</v>
      </c>
      <c r="X228" t="s">
        <v>569</v>
      </c>
      <c r="Y228" t="s">
        <v>569</v>
      </c>
      <c r="Z228" t="s">
        <v>569</v>
      </c>
      <c r="AA228" t="s">
        <v>569</v>
      </c>
      <c r="AB228">
        <v>50</v>
      </c>
      <c r="AC22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29" spans="1:29" x14ac:dyDescent="0.25">
      <c r="A229" t="s">
        <v>986</v>
      </c>
      <c r="B229" t="s">
        <v>557</v>
      </c>
      <c r="C229" t="s">
        <v>504</v>
      </c>
      <c r="D229" t="s">
        <v>501</v>
      </c>
      <c r="E229" t="s">
        <v>502</v>
      </c>
      <c r="F229" t="s">
        <v>569</v>
      </c>
      <c r="G229" t="s">
        <v>569</v>
      </c>
      <c r="H229" t="s">
        <v>569</v>
      </c>
      <c r="I229" t="s">
        <v>569</v>
      </c>
      <c r="J229" t="s">
        <v>569</v>
      </c>
      <c r="K229" t="s">
        <v>569</v>
      </c>
      <c r="L229" t="s">
        <v>569</v>
      </c>
      <c r="M229" t="s">
        <v>569</v>
      </c>
      <c r="N229" t="s">
        <v>569</v>
      </c>
      <c r="O229" t="s">
        <v>569</v>
      </c>
      <c r="P229" t="s">
        <v>569</v>
      </c>
      <c r="Q229" t="s">
        <v>569</v>
      </c>
      <c r="R229">
        <v>49.828653457189297</v>
      </c>
      <c r="S229" t="s">
        <v>1213</v>
      </c>
      <c r="T229">
        <v>-124.511760847918</v>
      </c>
      <c r="U229" t="s">
        <v>1206</v>
      </c>
      <c r="V229" t="s">
        <v>569</v>
      </c>
      <c r="W229" t="s">
        <v>569</v>
      </c>
      <c r="X229" t="s">
        <v>569</v>
      </c>
      <c r="Y229" t="s">
        <v>569</v>
      </c>
      <c r="Z229" t="s">
        <v>569</v>
      </c>
      <c r="AA229" t="s">
        <v>569</v>
      </c>
      <c r="AB229">
        <v>50</v>
      </c>
      <c r="AC22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0" spans="1:29" x14ac:dyDescent="0.25">
      <c r="A230" t="s">
        <v>558</v>
      </c>
      <c r="B230" t="s">
        <v>557</v>
      </c>
      <c r="C230" t="s">
        <v>504</v>
      </c>
      <c r="D230" t="s">
        <v>501</v>
      </c>
      <c r="E230" t="s">
        <v>502</v>
      </c>
      <c r="F230" t="s">
        <v>569</v>
      </c>
      <c r="G230" t="s">
        <v>569</v>
      </c>
      <c r="H230" t="s">
        <v>569</v>
      </c>
      <c r="I230" t="s">
        <v>569</v>
      </c>
      <c r="J230" t="s">
        <v>569</v>
      </c>
      <c r="K230" t="s">
        <v>569</v>
      </c>
      <c r="L230" t="s">
        <v>569</v>
      </c>
      <c r="M230" t="s">
        <v>569</v>
      </c>
      <c r="N230" t="s">
        <v>569</v>
      </c>
      <c r="O230" t="s">
        <v>569</v>
      </c>
      <c r="P230" t="s">
        <v>569</v>
      </c>
      <c r="Q230" t="s">
        <v>569</v>
      </c>
      <c r="R230">
        <v>49.828655560000001</v>
      </c>
      <c r="S230" t="s">
        <v>1213</v>
      </c>
      <c r="T230">
        <v>-124.5114028</v>
      </c>
      <c r="U230" t="s">
        <v>1206</v>
      </c>
      <c r="V230" t="s">
        <v>569</v>
      </c>
      <c r="W230" t="s">
        <v>569</v>
      </c>
      <c r="X230" t="s">
        <v>569</v>
      </c>
      <c r="Y230" t="s">
        <v>569</v>
      </c>
      <c r="Z230" t="s">
        <v>569</v>
      </c>
      <c r="AA230" t="s">
        <v>1230</v>
      </c>
      <c r="AB230">
        <v>50</v>
      </c>
      <c r="AC2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1" spans="1:29" x14ac:dyDescent="0.25">
      <c r="A231" t="s">
        <v>517</v>
      </c>
      <c r="B231" t="s">
        <v>516</v>
      </c>
      <c r="C231" t="s">
        <v>504</v>
      </c>
      <c r="D231" t="s">
        <v>501</v>
      </c>
      <c r="E231" t="s">
        <v>502</v>
      </c>
      <c r="F231" t="s">
        <v>569</v>
      </c>
      <c r="G231" t="s">
        <v>569</v>
      </c>
      <c r="H231" t="s">
        <v>569</v>
      </c>
      <c r="I231" t="s">
        <v>569</v>
      </c>
      <c r="J231" t="s">
        <v>569</v>
      </c>
      <c r="K231">
        <v>0</v>
      </c>
      <c r="L231" t="s">
        <v>569</v>
      </c>
      <c r="M231" t="s">
        <v>569</v>
      </c>
      <c r="N231" t="s">
        <v>569</v>
      </c>
      <c r="O231" t="s">
        <v>569</v>
      </c>
      <c r="P231" t="s">
        <v>569</v>
      </c>
      <c r="Q231" t="s">
        <v>569</v>
      </c>
      <c r="R231">
        <v>49.271450969999997</v>
      </c>
      <c r="S231" t="s">
        <v>1213</v>
      </c>
      <c r="T231">
        <v>-122.9517156</v>
      </c>
      <c r="U231" t="s">
        <v>1206</v>
      </c>
      <c r="V231" t="s">
        <v>569</v>
      </c>
      <c r="W231" t="s">
        <v>569</v>
      </c>
      <c r="X231" t="s">
        <v>569</v>
      </c>
      <c r="Y231" t="s">
        <v>569</v>
      </c>
      <c r="Z231" t="s">
        <v>569</v>
      </c>
      <c r="AA231" t="s">
        <v>1229</v>
      </c>
      <c r="AB231">
        <v>50</v>
      </c>
      <c r="AC23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2" spans="1:29" x14ac:dyDescent="0.25">
      <c r="A232" t="s">
        <v>977</v>
      </c>
      <c r="B232" t="s">
        <v>976</v>
      </c>
      <c r="C232" t="s">
        <v>505</v>
      </c>
      <c r="D232" t="s">
        <v>522</v>
      </c>
      <c r="E232" t="s">
        <v>523</v>
      </c>
      <c r="F232" t="s">
        <v>569</v>
      </c>
      <c r="G232" t="s">
        <v>569</v>
      </c>
      <c r="H232" t="s">
        <v>569</v>
      </c>
      <c r="I232" t="s">
        <v>569</v>
      </c>
      <c r="J232" t="s">
        <v>569</v>
      </c>
      <c r="K232">
        <v>0</v>
      </c>
      <c r="L232" t="s">
        <v>569</v>
      </c>
      <c r="M232" t="s">
        <v>569</v>
      </c>
      <c r="N232" t="s">
        <v>569</v>
      </c>
      <c r="O232" t="s">
        <v>569</v>
      </c>
      <c r="P232" t="s">
        <v>569</v>
      </c>
      <c r="Q232" t="s">
        <v>569</v>
      </c>
      <c r="R232">
        <v>-38.364559180000001</v>
      </c>
      <c r="S232" t="s">
        <v>1111</v>
      </c>
      <c r="T232">
        <v>145.20679530000001</v>
      </c>
      <c r="U232" t="s">
        <v>1201</v>
      </c>
      <c r="V232" t="s">
        <v>569</v>
      </c>
      <c r="W232" t="s">
        <v>569</v>
      </c>
      <c r="X232" t="s">
        <v>569</v>
      </c>
      <c r="Y232" t="s">
        <v>569</v>
      </c>
      <c r="Z232" t="s">
        <v>569</v>
      </c>
      <c r="AA232" t="s">
        <v>1229</v>
      </c>
      <c r="AB232">
        <v>50</v>
      </c>
      <c r="AC2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3" spans="1:29" x14ac:dyDescent="0.25">
      <c r="A233" t="s">
        <v>810</v>
      </c>
      <c r="B233" t="s">
        <v>505</v>
      </c>
      <c r="C233" t="s">
        <v>504</v>
      </c>
      <c r="D233" t="s">
        <v>501</v>
      </c>
      <c r="E233" t="s">
        <v>502</v>
      </c>
      <c r="F233" t="s">
        <v>569</v>
      </c>
      <c r="G233" t="s">
        <v>569</v>
      </c>
      <c r="H233" t="s">
        <v>569</v>
      </c>
      <c r="I233" t="s">
        <v>569</v>
      </c>
      <c r="J233" t="s">
        <v>569</v>
      </c>
      <c r="K233">
        <v>0</v>
      </c>
      <c r="L233" t="s">
        <v>569</v>
      </c>
      <c r="M233" t="s">
        <v>569</v>
      </c>
      <c r="N233" t="s">
        <v>569</v>
      </c>
      <c r="O233" t="s">
        <v>569</v>
      </c>
      <c r="P233" t="s">
        <v>569</v>
      </c>
      <c r="Q233" t="s">
        <v>569</v>
      </c>
      <c r="R233">
        <v>48.439310399999997</v>
      </c>
      <c r="S233" t="s">
        <v>1213</v>
      </c>
      <c r="T233">
        <v>-123.39677450000001</v>
      </c>
      <c r="U233" t="s">
        <v>1206</v>
      </c>
      <c r="V233" t="s">
        <v>569</v>
      </c>
      <c r="W233" t="s">
        <v>569</v>
      </c>
      <c r="X233" t="s">
        <v>569</v>
      </c>
      <c r="Y233" t="s">
        <v>569</v>
      </c>
      <c r="Z233" t="s">
        <v>569</v>
      </c>
      <c r="AA233" t="s">
        <v>1229</v>
      </c>
      <c r="AB233">
        <v>50</v>
      </c>
      <c r="AC23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4" spans="1:29" x14ac:dyDescent="0.25">
      <c r="A234" t="s">
        <v>1247</v>
      </c>
      <c r="B234" t="s">
        <v>1005</v>
      </c>
      <c r="C234" t="s">
        <v>1235</v>
      </c>
      <c r="D234" t="s">
        <v>1006</v>
      </c>
      <c r="E234" t="s">
        <v>1236</v>
      </c>
      <c r="F234" t="s">
        <v>569</v>
      </c>
      <c r="G234" t="s">
        <v>569</v>
      </c>
      <c r="H234" t="s">
        <v>569</v>
      </c>
      <c r="I234" t="s">
        <v>569</v>
      </c>
      <c r="J234" t="s">
        <v>569</v>
      </c>
      <c r="K234" t="s">
        <v>569</v>
      </c>
      <c r="L234" t="s">
        <v>569</v>
      </c>
      <c r="M234" t="s">
        <v>569</v>
      </c>
      <c r="N234" t="s">
        <v>569</v>
      </c>
      <c r="O234" t="s">
        <v>569</v>
      </c>
      <c r="P234" t="s">
        <v>569</v>
      </c>
      <c r="Q234" t="s">
        <v>569</v>
      </c>
      <c r="R234">
        <v>51.571440729999999</v>
      </c>
      <c r="S234" t="s">
        <v>1213</v>
      </c>
      <c r="T234">
        <v>-0.19847472099999999</v>
      </c>
      <c r="U234" t="s">
        <v>1206</v>
      </c>
      <c r="V234" t="s">
        <v>569</v>
      </c>
      <c r="W234" t="s">
        <v>569</v>
      </c>
      <c r="X234" t="s">
        <v>569</v>
      </c>
      <c r="Y234" t="s">
        <v>569</v>
      </c>
      <c r="Z234" t="s">
        <v>569</v>
      </c>
      <c r="AA234" t="s">
        <v>1230</v>
      </c>
      <c r="AB234">
        <v>50</v>
      </c>
      <c r="AC2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5" spans="1:29" x14ac:dyDescent="0.25">
      <c r="A235" t="s">
        <v>1251</v>
      </c>
      <c r="B235" t="s">
        <v>1005</v>
      </c>
      <c r="C235" t="s">
        <v>1235</v>
      </c>
      <c r="D235" t="s">
        <v>1006</v>
      </c>
      <c r="E235" t="s">
        <v>1236</v>
      </c>
      <c r="F235" t="s">
        <v>569</v>
      </c>
      <c r="G235" t="s">
        <v>569</v>
      </c>
      <c r="H235" t="s">
        <v>569</v>
      </c>
      <c r="I235" t="s">
        <v>569</v>
      </c>
      <c r="J235" t="s">
        <v>569</v>
      </c>
      <c r="K235" t="s">
        <v>569</v>
      </c>
      <c r="L235" t="s">
        <v>569</v>
      </c>
      <c r="M235" t="s">
        <v>569</v>
      </c>
      <c r="N235" t="s">
        <v>569</v>
      </c>
      <c r="O235" t="s">
        <v>569</v>
      </c>
      <c r="P235" t="s">
        <v>569</v>
      </c>
      <c r="Q235" t="s">
        <v>569</v>
      </c>
      <c r="R235">
        <v>51.525018260000003</v>
      </c>
      <c r="S235" t="s">
        <v>1213</v>
      </c>
      <c r="T235">
        <v>-0.18970116200000001</v>
      </c>
      <c r="U235" t="s">
        <v>1206</v>
      </c>
      <c r="V235" t="s">
        <v>569</v>
      </c>
      <c r="W235" t="s">
        <v>569</v>
      </c>
      <c r="X235" t="s">
        <v>569</v>
      </c>
      <c r="Y235" t="s">
        <v>569</v>
      </c>
      <c r="Z235" t="s">
        <v>569</v>
      </c>
      <c r="AA235" t="s">
        <v>1230</v>
      </c>
      <c r="AB235">
        <v>50</v>
      </c>
      <c r="AC2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6" spans="1:29" x14ac:dyDescent="0.25">
      <c r="A236" t="s">
        <v>853</v>
      </c>
      <c r="B236" t="s">
        <v>820</v>
      </c>
      <c r="C236" t="s">
        <v>504</v>
      </c>
      <c r="D236" t="s">
        <v>501</v>
      </c>
      <c r="E236" t="s">
        <v>502</v>
      </c>
      <c r="F236" t="s">
        <v>569</v>
      </c>
      <c r="G236" t="s">
        <v>569</v>
      </c>
      <c r="H236" t="s">
        <v>569</v>
      </c>
      <c r="I236" t="s">
        <v>569</v>
      </c>
      <c r="J236" t="s">
        <v>569</v>
      </c>
      <c r="K236">
        <v>0</v>
      </c>
      <c r="L236" t="s">
        <v>569</v>
      </c>
      <c r="M236" t="s">
        <v>569</v>
      </c>
      <c r="N236" t="s">
        <v>569</v>
      </c>
      <c r="O236" t="s">
        <v>569</v>
      </c>
      <c r="P236" t="s">
        <v>569</v>
      </c>
      <c r="Q236" t="s">
        <v>569</v>
      </c>
      <c r="R236">
        <v>48.433246689999997</v>
      </c>
      <c r="S236" t="s">
        <v>1213</v>
      </c>
      <c r="T236">
        <v>-123.400645</v>
      </c>
      <c r="U236" t="s">
        <v>1206</v>
      </c>
      <c r="V236" t="s">
        <v>569</v>
      </c>
      <c r="W236" t="s">
        <v>569</v>
      </c>
      <c r="X236" t="s">
        <v>569</v>
      </c>
      <c r="Y236" t="s">
        <v>569</v>
      </c>
      <c r="Z236" t="s">
        <v>569</v>
      </c>
      <c r="AA236" t="s">
        <v>1229</v>
      </c>
      <c r="AB236">
        <v>50</v>
      </c>
      <c r="AC23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7" spans="1:29" x14ac:dyDescent="0.25">
      <c r="A237" t="s">
        <v>597</v>
      </c>
      <c r="B237" t="s">
        <v>505</v>
      </c>
      <c r="C237" t="s">
        <v>504</v>
      </c>
      <c r="D237" t="s">
        <v>501</v>
      </c>
      <c r="E237" t="s">
        <v>502</v>
      </c>
      <c r="F237" t="s">
        <v>569</v>
      </c>
      <c r="G237" t="s">
        <v>569</v>
      </c>
      <c r="H237" t="s">
        <v>569</v>
      </c>
      <c r="I237" t="s">
        <v>569</v>
      </c>
      <c r="J237" t="s">
        <v>569</v>
      </c>
      <c r="K237">
        <v>0</v>
      </c>
      <c r="L237" t="s">
        <v>569</v>
      </c>
      <c r="M237" t="s">
        <v>569</v>
      </c>
      <c r="N237" t="s">
        <v>569</v>
      </c>
      <c r="O237" t="s">
        <v>569</v>
      </c>
      <c r="P237" t="s">
        <v>569</v>
      </c>
      <c r="Q237" t="s">
        <v>569</v>
      </c>
      <c r="R237">
        <v>48.421803310000001</v>
      </c>
      <c r="S237" t="s">
        <v>1213</v>
      </c>
      <c r="T237">
        <v>-123.35479530000001</v>
      </c>
      <c r="U237" t="s">
        <v>1206</v>
      </c>
      <c r="V237" t="s">
        <v>569</v>
      </c>
      <c r="W237" t="s">
        <v>569</v>
      </c>
      <c r="X237" t="s">
        <v>569</v>
      </c>
      <c r="Y237" t="s">
        <v>569</v>
      </c>
      <c r="Z237" t="s">
        <v>569</v>
      </c>
      <c r="AA237" t="s">
        <v>1229</v>
      </c>
      <c r="AB237">
        <v>50</v>
      </c>
      <c r="AC2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8" spans="1:29" x14ac:dyDescent="0.25">
      <c r="A238" t="s">
        <v>625</v>
      </c>
      <c r="B238" t="s">
        <v>505</v>
      </c>
      <c r="C238" t="s">
        <v>504</v>
      </c>
      <c r="D238" t="s">
        <v>501</v>
      </c>
      <c r="E238" t="s">
        <v>502</v>
      </c>
      <c r="F238" t="s">
        <v>569</v>
      </c>
      <c r="G238" t="s">
        <v>569</v>
      </c>
      <c r="H238" t="s">
        <v>569</v>
      </c>
      <c r="I238" t="s">
        <v>569</v>
      </c>
      <c r="J238" t="s">
        <v>569</v>
      </c>
      <c r="K238">
        <v>0</v>
      </c>
      <c r="L238" t="s">
        <v>569</v>
      </c>
      <c r="M238" t="s">
        <v>569</v>
      </c>
      <c r="N238" t="s">
        <v>569</v>
      </c>
      <c r="O238" t="s">
        <v>569</v>
      </c>
      <c r="P238" t="s">
        <v>569</v>
      </c>
      <c r="Q238" t="s">
        <v>569</v>
      </c>
      <c r="R238">
        <v>48.424370039999999</v>
      </c>
      <c r="S238" t="s">
        <v>1213</v>
      </c>
      <c r="T238">
        <v>-123.3633596</v>
      </c>
      <c r="U238" t="s">
        <v>1206</v>
      </c>
      <c r="V238" t="s">
        <v>569</v>
      </c>
      <c r="W238" t="s">
        <v>569</v>
      </c>
      <c r="X238" t="s">
        <v>569</v>
      </c>
      <c r="Y238" t="s">
        <v>569</v>
      </c>
      <c r="Z238" t="s">
        <v>569</v>
      </c>
      <c r="AA238" t="s">
        <v>1229</v>
      </c>
      <c r="AB238">
        <v>50</v>
      </c>
      <c r="AC23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39" spans="1:29" x14ac:dyDescent="0.25">
      <c r="A239" t="s">
        <v>891</v>
      </c>
      <c r="B239" t="s">
        <v>505</v>
      </c>
      <c r="C239" t="s">
        <v>504</v>
      </c>
      <c r="D239" t="s">
        <v>501</v>
      </c>
      <c r="E239" t="s">
        <v>502</v>
      </c>
      <c r="F239" t="s">
        <v>569</v>
      </c>
      <c r="G239" t="s">
        <v>569</v>
      </c>
      <c r="H239" t="s">
        <v>569</v>
      </c>
      <c r="I239" t="s">
        <v>569</v>
      </c>
      <c r="J239" t="s">
        <v>569</v>
      </c>
      <c r="K239">
        <v>0</v>
      </c>
      <c r="L239" t="s">
        <v>569</v>
      </c>
      <c r="M239" t="s">
        <v>569</v>
      </c>
      <c r="N239" t="s">
        <v>569</v>
      </c>
      <c r="O239" t="s">
        <v>569</v>
      </c>
      <c r="P239" t="s">
        <v>569</v>
      </c>
      <c r="Q239" t="s">
        <v>569</v>
      </c>
      <c r="R239">
        <v>48.463592689999999</v>
      </c>
      <c r="S239" t="s">
        <v>1213</v>
      </c>
      <c r="T239">
        <v>-123.40775549999999</v>
      </c>
      <c r="U239" t="s">
        <v>1206</v>
      </c>
      <c r="V239" t="s">
        <v>569</v>
      </c>
      <c r="W239" t="s">
        <v>569</v>
      </c>
      <c r="X239" t="s">
        <v>569</v>
      </c>
      <c r="Y239" t="s">
        <v>569</v>
      </c>
      <c r="Z239" t="s">
        <v>569</v>
      </c>
      <c r="AA239" t="s">
        <v>1229</v>
      </c>
      <c r="AB239">
        <v>50</v>
      </c>
      <c r="AC23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0" spans="1:29" x14ac:dyDescent="0.25">
      <c r="A240" t="s">
        <v>584</v>
      </c>
      <c r="B240" t="s">
        <v>505</v>
      </c>
      <c r="C240" t="s">
        <v>504</v>
      </c>
      <c r="D240" t="s">
        <v>501</v>
      </c>
      <c r="E240" t="s">
        <v>502</v>
      </c>
      <c r="F240" t="s">
        <v>569</v>
      </c>
      <c r="G240" t="s">
        <v>569</v>
      </c>
      <c r="H240" t="s">
        <v>569</v>
      </c>
      <c r="I240" t="s">
        <v>569</v>
      </c>
      <c r="J240" t="s">
        <v>569</v>
      </c>
      <c r="K240">
        <v>0</v>
      </c>
      <c r="L240" t="s">
        <v>569</v>
      </c>
      <c r="M240" t="s">
        <v>569</v>
      </c>
      <c r="N240" t="s">
        <v>569</v>
      </c>
      <c r="O240" t="s">
        <v>569</v>
      </c>
      <c r="P240" t="s">
        <v>569</v>
      </c>
      <c r="Q240" t="s">
        <v>569</v>
      </c>
      <c r="R240">
        <v>48.41788176</v>
      </c>
      <c r="S240" t="s">
        <v>1213</v>
      </c>
      <c r="T240">
        <v>-123.3604011</v>
      </c>
      <c r="U240" t="s">
        <v>1206</v>
      </c>
      <c r="V240" t="s">
        <v>569</v>
      </c>
      <c r="W240" t="s">
        <v>569</v>
      </c>
      <c r="X240" t="s">
        <v>569</v>
      </c>
      <c r="Y240" t="s">
        <v>569</v>
      </c>
      <c r="Z240" t="s">
        <v>569</v>
      </c>
      <c r="AA240" t="s">
        <v>1229</v>
      </c>
      <c r="AB240">
        <v>50</v>
      </c>
      <c r="AC24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1" spans="1:29" x14ac:dyDescent="0.25">
      <c r="A241" t="s">
        <v>509</v>
      </c>
      <c r="B241" t="s">
        <v>505</v>
      </c>
      <c r="C241" t="s">
        <v>504</v>
      </c>
      <c r="D241" t="s">
        <v>501</v>
      </c>
      <c r="E241" t="s">
        <v>502</v>
      </c>
      <c r="F241" t="s">
        <v>569</v>
      </c>
      <c r="G241" t="s">
        <v>569</v>
      </c>
      <c r="H241" t="s">
        <v>569</v>
      </c>
      <c r="I241" t="s">
        <v>569</v>
      </c>
      <c r="J241" t="s">
        <v>569</v>
      </c>
      <c r="K241">
        <v>0</v>
      </c>
      <c r="L241" t="s">
        <v>569</v>
      </c>
      <c r="M241" t="s">
        <v>569</v>
      </c>
      <c r="N241" t="s">
        <v>569</v>
      </c>
      <c r="O241" t="s">
        <v>569</v>
      </c>
      <c r="P241" t="s">
        <v>569</v>
      </c>
      <c r="Q241" t="s">
        <v>569</v>
      </c>
      <c r="R241">
        <v>48.429576969999999</v>
      </c>
      <c r="S241" t="s">
        <v>1213</v>
      </c>
      <c r="T241">
        <v>-123.5283463</v>
      </c>
      <c r="U241" t="s">
        <v>1206</v>
      </c>
      <c r="V241" t="s">
        <v>569</v>
      </c>
      <c r="W241" t="s">
        <v>569</v>
      </c>
      <c r="X241" t="s">
        <v>569</v>
      </c>
      <c r="Y241" t="s">
        <v>569</v>
      </c>
      <c r="Z241" t="s">
        <v>569</v>
      </c>
      <c r="AA241" t="s">
        <v>1229</v>
      </c>
      <c r="AB241">
        <v>50</v>
      </c>
      <c r="AC24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2" spans="1:29" x14ac:dyDescent="0.25">
      <c r="A242" t="s">
        <v>864</v>
      </c>
      <c r="B242" t="s">
        <v>505</v>
      </c>
      <c r="C242" t="s">
        <v>504</v>
      </c>
      <c r="D242" t="s">
        <v>501</v>
      </c>
      <c r="E242" t="s">
        <v>502</v>
      </c>
      <c r="F242" t="s">
        <v>569</v>
      </c>
      <c r="G242" t="s">
        <v>569</v>
      </c>
      <c r="H242" t="s">
        <v>569</v>
      </c>
      <c r="I242" t="s">
        <v>569</v>
      </c>
      <c r="J242" t="s">
        <v>569</v>
      </c>
      <c r="K242">
        <v>0</v>
      </c>
      <c r="L242" t="s">
        <v>569</v>
      </c>
      <c r="M242" t="s">
        <v>569</v>
      </c>
      <c r="N242" t="s">
        <v>569</v>
      </c>
      <c r="O242" t="s">
        <v>569</v>
      </c>
      <c r="P242" t="s">
        <v>569</v>
      </c>
      <c r="Q242" t="s">
        <v>569</v>
      </c>
      <c r="R242">
        <v>48.448528699999997</v>
      </c>
      <c r="S242" t="s">
        <v>1213</v>
      </c>
      <c r="T242">
        <v>-123.51273980000001</v>
      </c>
      <c r="U242" t="s">
        <v>1206</v>
      </c>
      <c r="V242" t="s">
        <v>569</v>
      </c>
      <c r="W242" t="s">
        <v>569</v>
      </c>
      <c r="X242" t="s">
        <v>569</v>
      </c>
      <c r="Y242" t="s">
        <v>569</v>
      </c>
      <c r="Z242" t="s">
        <v>569</v>
      </c>
      <c r="AA242" t="s">
        <v>1229</v>
      </c>
      <c r="AB242">
        <v>50</v>
      </c>
      <c r="AC24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3" spans="1:29" x14ac:dyDescent="0.25">
      <c r="A243" t="s">
        <v>589</v>
      </c>
      <c r="B243" t="s">
        <v>513</v>
      </c>
      <c r="C243" t="s">
        <v>504</v>
      </c>
      <c r="D243" t="s">
        <v>501</v>
      </c>
      <c r="E243" t="s">
        <v>502</v>
      </c>
      <c r="F243" t="s">
        <v>569</v>
      </c>
      <c r="G243" t="s">
        <v>569</v>
      </c>
      <c r="H243" t="s">
        <v>569</v>
      </c>
      <c r="I243" t="s">
        <v>569</v>
      </c>
      <c r="J243" t="s">
        <v>569</v>
      </c>
      <c r="K243">
        <v>0</v>
      </c>
      <c r="L243" t="s">
        <v>569</v>
      </c>
      <c r="M243" t="s">
        <v>569</v>
      </c>
      <c r="N243" t="s">
        <v>569</v>
      </c>
      <c r="O243" t="s">
        <v>569</v>
      </c>
      <c r="P243" t="s">
        <v>569</v>
      </c>
      <c r="Q243" t="s">
        <v>569</v>
      </c>
      <c r="R243">
        <v>49.28256708</v>
      </c>
      <c r="S243" t="s">
        <v>1213</v>
      </c>
      <c r="T243">
        <v>-123.12759610000001</v>
      </c>
      <c r="U243" t="s">
        <v>1206</v>
      </c>
      <c r="V243" t="s">
        <v>569</v>
      </c>
      <c r="W243" t="s">
        <v>569</v>
      </c>
      <c r="X243" t="s">
        <v>569</v>
      </c>
      <c r="Y243" t="s">
        <v>569</v>
      </c>
      <c r="Z243" t="s">
        <v>569</v>
      </c>
      <c r="AA243" t="s">
        <v>1229</v>
      </c>
      <c r="AB243">
        <v>50</v>
      </c>
      <c r="AC24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4" spans="1:29" x14ac:dyDescent="0.25">
      <c r="A244" t="s">
        <v>1393</v>
      </c>
      <c r="B244" t="s">
        <v>513</v>
      </c>
      <c r="C244" t="s">
        <v>504</v>
      </c>
      <c r="D244" t="s">
        <v>501</v>
      </c>
      <c r="E244" t="s">
        <v>502</v>
      </c>
      <c r="F244" t="s">
        <v>569</v>
      </c>
      <c r="G244" t="s">
        <v>569</v>
      </c>
      <c r="H244" t="s">
        <v>569</v>
      </c>
      <c r="I244" t="s">
        <v>569</v>
      </c>
      <c r="J244" t="s">
        <v>569</v>
      </c>
      <c r="K244" t="s">
        <v>569</v>
      </c>
      <c r="L244" t="s">
        <v>569</v>
      </c>
      <c r="M244" t="s">
        <v>569</v>
      </c>
      <c r="N244" t="s">
        <v>569</v>
      </c>
      <c r="O244" t="s">
        <v>569</v>
      </c>
      <c r="P244" t="s">
        <v>569</v>
      </c>
      <c r="Q244" t="s">
        <v>569</v>
      </c>
      <c r="R244" t="s">
        <v>569</v>
      </c>
      <c r="S244" t="s">
        <v>569</v>
      </c>
      <c r="T244" t="s">
        <v>569</v>
      </c>
      <c r="U244" t="s">
        <v>569</v>
      </c>
      <c r="V244" t="s">
        <v>569</v>
      </c>
      <c r="W244" t="s">
        <v>569</v>
      </c>
      <c r="X244" t="s">
        <v>569</v>
      </c>
      <c r="Y244" t="s">
        <v>569</v>
      </c>
      <c r="Z244" t="s">
        <v>569</v>
      </c>
      <c r="AA244" t="s">
        <v>569</v>
      </c>
      <c r="AB244">
        <v>50</v>
      </c>
      <c r="AC24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5" spans="1:29" x14ac:dyDescent="0.25">
      <c r="A245" t="s">
        <v>819</v>
      </c>
      <c r="B245" t="s">
        <v>505</v>
      </c>
      <c r="C245" t="s">
        <v>504</v>
      </c>
      <c r="D245" t="s">
        <v>501</v>
      </c>
      <c r="E245" t="s">
        <v>502</v>
      </c>
      <c r="F245" t="s">
        <v>569</v>
      </c>
      <c r="G245" t="s">
        <v>569</v>
      </c>
      <c r="H245" t="s">
        <v>569</v>
      </c>
      <c r="I245" t="s">
        <v>569</v>
      </c>
      <c r="J245" t="s">
        <v>569</v>
      </c>
      <c r="K245">
        <v>0</v>
      </c>
      <c r="L245" t="s">
        <v>569</v>
      </c>
      <c r="M245" t="s">
        <v>569</v>
      </c>
      <c r="N245" t="s">
        <v>569</v>
      </c>
      <c r="O245" t="s">
        <v>569</v>
      </c>
      <c r="P245" t="s">
        <v>569</v>
      </c>
      <c r="Q245" t="s">
        <v>569</v>
      </c>
      <c r="R245">
        <v>48.469086359999999</v>
      </c>
      <c r="S245" t="s">
        <v>1213</v>
      </c>
      <c r="T245">
        <v>-123.40684349999999</v>
      </c>
      <c r="U245" t="s">
        <v>1206</v>
      </c>
      <c r="V245" t="s">
        <v>569</v>
      </c>
      <c r="W245" t="s">
        <v>569</v>
      </c>
      <c r="X245" t="s">
        <v>569</v>
      </c>
      <c r="Y245" t="s">
        <v>569</v>
      </c>
      <c r="Z245" t="s">
        <v>569</v>
      </c>
      <c r="AA245" t="s">
        <v>1229</v>
      </c>
      <c r="AB245">
        <v>50</v>
      </c>
      <c r="AC24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6" spans="1:29" x14ac:dyDescent="0.25">
      <c r="A246" t="s">
        <v>1496</v>
      </c>
      <c r="B246" t="s">
        <v>533</v>
      </c>
      <c r="C246" t="s">
        <v>504</v>
      </c>
      <c r="D246" t="s">
        <v>501</v>
      </c>
      <c r="E246" t="s">
        <v>502</v>
      </c>
      <c r="F246" t="s">
        <v>569</v>
      </c>
      <c r="G246" t="s">
        <v>1490</v>
      </c>
      <c r="H246" t="s">
        <v>534</v>
      </c>
      <c r="I246" t="s">
        <v>1063</v>
      </c>
      <c r="J246" t="s">
        <v>569</v>
      </c>
      <c r="K246" t="s">
        <v>569</v>
      </c>
      <c r="L246" t="s">
        <v>569</v>
      </c>
      <c r="M246" t="s">
        <v>569</v>
      </c>
      <c r="N246" t="s">
        <v>569</v>
      </c>
      <c r="O246" t="s">
        <v>569</v>
      </c>
      <c r="P246" t="s">
        <v>569</v>
      </c>
      <c r="Q246" t="s">
        <v>569</v>
      </c>
      <c r="R246" t="s">
        <v>569</v>
      </c>
      <c r="S246" t="s">
        <v>569</v>
      </c>
      <c r="T246" t="s">
        <v>569</v>
      </c>
      <c r="U246" t="s">
        <v>569</v>
      </c>
      <c r="V246" t="s">
        <v>569</v>
      </c>
      <c r="W246" t="s">
        <v>569</v>
      </c>
      <c r="X246" t="s">
        <v>569</v>
      </c>
      <c r="Y246" t="s">
        <v>569</v>
      </c>
      <c r="Z246" t="s">
        <v>569</v>
      </c>
      <c r="AA246" t="s">
        <v>569</v>
      </c>
      <c r="AB246">
        <v>500</v>
      </c>
      <c r="AC24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7" spans="1:29" x14ac:dyDescent="0.25">
      <c r="A247" t="s">
        <v>750</v>
      </c>
      <c r="B247" t="s">
        <v>505</v>
      </c>
      <c r="C247" t="s">
        <v>504</v>
      </c>
      <c r="D247" t="s">
        <v>501</v>
      </c>
      <c r="E247" t="s">
        <v>502</v>
      </c>
      <c r="F247" t="s">
        <v>569</v>
      </c>
      <c r="G247" t="s">
        <v>569</v>
      </c>
      <c r="H247" t="s">
        <v>569</v>
      </c>
      <c r="I247" t="s">
        <v>569</v>
      </c>
      <c r="J247" t="s">
        <v>569</v>
      </c>
      <c r="K247">
        <v>0</v>
      </c>
      <c r="L247" t="s">
        <v>569</v>
      </c>
      <c r="M247" t="s">
        <v>569</v>
      </c>
      <c r="N247" t="s">
        <v>569</v>
      </c>
      <c r="O247" t="s">
        <v>569</v>
      </c>
      <c r="P247" t="s">
        <v>569</v>
      </c>
      <c r="Q247" t="s">
        <v>569</v>
      </c>
      <c r="R247">
        <v>48.394219669999998</v>
      </c>
      <c r="S247" t="s">
        <v>1213</v>
      </c>
      <c r="T247">
        <v>-123.6278468</v>
      </c>
      <c r="U247" t="s">
        <v>1206</v>
      </c>
      <c r="V247" t="s">
        <v>569</v>
      </c>
      <c r="W247" t="s">
        <v>569</v>
      </c>
      <c r="X247" t="s">
        <v>569</v>
      </c>
      <c r="Y247" t="s">
        <v>569</v>
      </c>
      <c r="Z247" s="9">
        <v>0</v>
      </c>
      <c r="AA247" t="s">
        <v>1229</v>
      </c>
      <c r="AB247">
        <v>50</v>
      </c>
      <c r="AC24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8" spans="1:29" x14ac:dyDescent="0.25">
      <c r="A248" t="s">
        <v>975</v>
      </c>
      <c r="B248" t="s">
        <v>954</v>
      </c>
      <c r="C248" t="s">
        <v>505</v>
      </c>
      <c r="D248" t="s">
        <v>522</v>
      </c>
      <c r="E248" t="s">
        <v>523</v>
      </c>
      <c r="F248" t="s">
        <v>569</v>
      </c>
      <c r="G248" t="s">
        <v>569</v>
      </c>
      <c r="H248" t="s">
        <v>569</v>
      </c>
      <c r="I248" t="s">
        <v>569</v>
      </c>
      <c r="J248" t="s">
        <v>569</v>
      </c>
      <c r="K248">
        <v>0</v>
      </c>
      <c r="L248" t="s">
        <v>569</v>
      </c>
      <c r="M248" t="s">
        <v>569</v>
      </c>
      <c r="N248" t="s">
        <v>569</v>
      </c>
      <c r="O248" t="s">
        <v>569</v>
      </c>
      <c r="P248" t="s">
        <v>569</v>
      </c>
      <c r="Q248" t="s">
        <v>569</v>
      </c>
      <c r="R248">
        <v>-37.826622020000002</v>
      </c>
      <c r="S248" t="s">
        <v>1111</v>
      </c>
      <c r="T248">
        <v>144.95688290000001</v>
      </c>
      <c r="U248" t="s">
        <v>1201</v>
      </c>
      <c r="V248" t="s">
        <v>569</v>
      </c>
      <c r="W248" t="s">
        <v>569</v>
      </c>
      <c r="X248" t="s">
        <v>569</v>
      </c>
      <c r="Y248" t="s">
        <v>569</v>
      </c>
      <c r="Z248" t="s">
        <v>569</v>
      </c>
      <c r="AA248" t="s">
        <v>1229</v>
      </c>
      <c r="AB248">
        <v>50</v>
      </c>
      <c r="AC2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49" spans="1:29" x14ac:dyDescent="0.25">
      <c r="A249" t="s">
        <v>967</v>
      </c>
      <c r="B249" t="s">
        <v>943</v>
      </c>
      <c r="C249" t="s">
        <v>707</v>
      </c>
      <c r="D249" t="s">
        <v>522</v>
      </c>
      <c r="E249" t="s">
        <v>523</v>
      </c>
      <c r="F249" t="s">
        <v>569</v>
      </c>
      <c r="G249" t="s">
        <v>569</v>
      </c>
      <c r="H249" t="s">
        <v>569</v>
      </c>
      <c r="I249" t="s">
        <v>569</v>
      </c>
      <c r="J249" t="s">
        <v>569</v>
      </c>
      <c r="K249">
        <v>0</v>
      </c>
      <c r="L249" t="s">
        <v>569</v>
      </c>
      <c r="M249" t="s">
        <v>569</v>
      </c>
      <c r="N249" t="s">
        <v>569</v>
      </c>
      <c r="O249" t="s">
        <v>569</v>
      </c>
      <c r="P249" t="s">
        <v>569</v>
      </c>
      <c r="Q249" t="s">
        <v>569</v>
      </c>
      <c r="R249">
        <v>-16.876396320000001</v>
      </c>
      <c r="S249" t="s">
        <v>1111</v>
      </c>
      <c r="T249">
        <v>145.75335759999999</v>
      </c>
      <c r="U249" t="s">
        <v>1201</v>
      </c>
      <c r="V249" t="s">
        <v>569</v>
      </c>
      <c r="W249" t="s">
        <v>569</v>
      </c>
      <c r="X249" t="s">
        <v>569</v>
      </c>
      <c r="Y249" t="s">
        <v>569</v>
      </c>
      <c r="Z249" t="s">
        <v>569</v>
      </c>
      <c r="AA249" t="s">
        <v>1229</v>
      </c>
      <c r="AB249">
        <v>50</v>
      </c>
      <c r="AC2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0" spans="1:29" x14ac:dyDescent="0.25">
      <c r="A250" t="s">
        <v>895</v>
      </c>
      <c r="B250" t="s">
        <v>8</v>
      </c>
      <c r="C250" t="s">
        <v>504</v>
      </c>
      <c r="D250" t="s">
        <v>501</v>
      </c>
      <c r="E250" t="s">
        <v>502</v>
      </c>
      <c r="F250" t="s">
        <v>569</v>
      </c>
      <c r="G250" t="s">
        <v>569</v>
      </c>
      <c r="H250" t="s">
        <v>569</v>
      </c>
      <c r="I250" t="s">
        <v>569</v>
      </c>
      <c r="J250" t="s">
        <v>569</v>
      </c>
      <c r="K250">
        <v>0</v>
      </c>
      <c r="L250" t="s">
        <v>569</v>
      </c>
      <c r="M250" t="s">
        <v>569</v>
      </c>
      <c r="N250" t="s">
        <v>569</v>
      </c>
      <c r="O250" t="s">
        <v>569</v>
      </c>
      <c r="P250" t="s">
        <v>569</v>
      </c>
      <c r="Q250" t="s">
        <v>569</v>
      </c>
      <c r="R250">
        <v>48.642634020000003</v>
      </c>
      <c r="S250" t="s">
        <v>1213</v>
      </c>
      <c r="T250">
        <v>-123.398121</v>
      </c>
      <c r="U250" t="s">
        <v>1206</v>
      </c>
      <c r="V250" t="s">
        <v>569</v>
      </c>
      <c r="W250" t="s">
        <v>569</v>
      </c>
      <c r="X250" t="s">
        <v>569</v>
      </c>
      <c r="Y250" t="s">
        <v>569</v>
      </c>
      <c r="Z250" t="s">
        <v>569</v>
      </c>
      <c r="AA250" t="s">
        <v>1229</v>
      </c>
      <c r="AB250">
        <v>50</v>
      </c>
      <c r="AC25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1" spans="1:29" x14ac:dyDescent="0.25">
      <c r="A251" t="s">
        <v>1370</v>
      </c>
      <c r="B251" t="s">
        <v>557</v>
      </c>
      <c r="C251" t="s">
        <v>504</v>
      </c>
      <c r="D251" t="s">
        <v>501</v>
      </c>
      <c r="E251" t="s">
        <v>502</v>
      </c>
      <c r="F251" t="s">
        <v>569</v>
      </c>
      <c r="G251" t="s">
        <v>569</v>
      </c>
      <c r="H251" t="s">
        <v>569</v>
      </c>
      <c r="I251" t="s">
        <v>569</v>
      </c>
      <c r="J251" t="s">
        <v>569</v>
      </c>
      <c r="K251" t="s">
        <v>569</v>
      </c>
      <c r="L251" t="s">
        <v>569</v>
      </c>
      <c r="M251" t="s">
        <v>569</v>
      </c>
      <c r="N251" t="s">
        <v>569</v>
      </c>
      <c r="O251" t="s">
        <v>569</v>
      </c>
      <c r="P251" t="s">
        <v>569</v>
      </c>
      <c r="Q251" t="s">
        <v>569</v>
      </c>
      <c r="R251" t="s">
        <v>569</v>
      </c>
      <c r="S251" t="s">
        <v>569</v>
      </c>
      <c r="T251" t="s">
        <v>569</v>
      </c>
      <c r="U251" t="s">
        <v>569</v>
      </c>
      <c r="V251" t="s">
        <v>569</v>
      </c>
      <c r="W251" t="s">
        <v>569</v>
      </c>
      <c r="X251" t="s">
        <v>569</v>
      </c>
      <c r="Y251" t="s">
        <v>569</v>
      </c>
      <c r="Z251" t="s">
        <v>569</v>
      </c>
      <c r="AA251" t="s">
        <v>569</v>
      </c>
      <c r="AB251">
        <v>50</v>
      </c>
      <c r="AC25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2" spans="1:29" x14ac:dyDescent="0.25">
      <c r="A252" t="s">
        <v>758</v>
      </c>
      <c r="B252" t="s">
        <v>755</v>
      </c>
      <c r="C252" t="s">
        <v>755</v>
      </c>
      <c r="D252" t="s">
        <v>756</v>
      </c>
      <c r="E252" t="s">
        <v>757</v>
      </c>
      <c r="F252" t="s">
        <v>569</v>
      </c>
      <c r="G252" t="s">
        <v>569</v>
      </c>
      <c r="H252" t="s">
        <v>569</v>
      </c>
      <c r="I252" t="s">
        <v>569</v>
      </c>
      <c r="J252" t="s">
        <v>569</v>
      </c>
      <c r="K252">
        <v>0</v>
      </c>
      <c r="L252" t="s">
        <v>569</v>
      </c>
      <c r="M252" t="s">
        <v>569</v>
      </c>
      <c r="N252" t="s">
        <v>569</v>
      </c>
      <c r="O252" t="s">
        <v>569</v>
      </c>
      <c r="P252" t="s">
        <v>569</v>
      </c>
      <c r="Q252" t="s">
        <v>569</v>
      </c>
      <c r="R252">
        <v>13.44475317</v>
      </c>
      <c r="S252" t="s">
        <v>1213</v>
      </c>
      <c r="T252">
        <v>103.856376</v>
      </c>
      <c r="U252" t="s">
        <v>1201</v>
      </c>
      <c r="V252" t="s">
        <v>569</v>
      </c>
      <c r="W252" t="s">
        <v>569</v>
      </c>
      <c r="X252" t="s">
        <v>569</v>
      </c>
      <c r="Y252" t="s">
        <v>569</v>
      </c>
      <c r="Z252" t="s">
        <v>569</v>
      </c>
      <c r="AA252" t="s">
        <v>1230</v>
      </c>
      <c r="AB252">
        <v>50</v>
      </c>
      <c r="AC25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3" spans="1:29" x14ac:dyDescent="0.25">
      <c r="A253" t="s">
        <v>774</v>
      </c>
      <c r="B253" t="s">
        <v>755</v>
      </c>
      <c r="C253" t="s">
        <v>755</v>
      </c>
      <c r="D253" t="s">
        <v>756</v>
      </c>
      <c r="E253" t="s">
        <v>757</v>
      </c>
      <c r="F253" t="s">
        <v>569</v>
      </c>
      <c r="G253" t="s">
        <v>569</v>
      </c>
      <c r="H253" t="s">
        <v>569</v>
      </c>
      <c r="I253" t="s">
        <v>569</v>
      </c>
      <c r="J253" t="s">
        <v>569</v>
      </c>
      <c r="K253">
        <v>0</v>
      </c>
      <c r="L253" t="s">
        <v>569</v>
      </c>
      <c r="M253" t="s">
        <v>569</v>
      </c>
      <c r="N253" t="s">
        <v>569</v>
      </c>
      <c r="O253" t="s">
        <v>569</v>
      </c>
      <c r="P253" t="s">
        <v>569</v>
      </c>
      <c r="Q253" t="s">
        <v>569</v>
      </c>
      <c r="R253">
        <v>13.42017778</v>
      </c>
      <c r="S253" t="s">
        <v>1213</v>
      </c>
      <c r="T253">
        <v>103.85959630000001</v>
      </c>
      <c r="U253" t="s">
        <v>1201</v>
      </c>
      <c r="V253" t="s">
        <v>569</v>
      </c>
      <c r="W253" t="s">
        <v>569</v>
      </c>
      <c r="X253" t="s">
        <v>569</v>
      </c>
      <c r="Y253" t="s">
        <v>569</v>
      </c>
      <c r="Z253" t="s">
        <v>569</v>
      </c>
      <c r="AA253" t="s">
        <v>1229</v>
      </c>
      <c r="AB253">
        <v>50</v>
      </c>
      <c r="AC2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4" spans="1:29" x14ac:dyDescent="0.25">
      <c r="A254" t="s">
        <v>772</v>
      </c>
      <c r="B254" t="s">
        <v>755</v>
      </c>
      <c r="C254" t="s">
        <v>755</v>
      </c>
      <c r="D254" t="s">
        <v>756</v>
      </c>
      <c r="E254" t="s">
        <v>757</v>
      </c>
      <c r="F254" t="s">
        <v>569</v>
      </c>
      <c r="G254" t="s">
        <v>569</v>
      </c>
      <c r="H254" t="s">
        <v>569</v>
      </c>
      <c r="I254" t="s">
        <v>569</v>
      </c>
      <c r="J254" t="s">
        <v>569</v>
      </c>
      <c r="K254">
        <v>0</v>
      </c>
      <c r="L254" t="s">
        <v>569</v>
      </c>
      <c r="M254" t="s">
        <v>569</v>
      </c>
      <c r="N254" t="s">
        <v>569</v>
      </c>
      <c r="O254" t="s">
        <v>569</v>
      </c>
      <c r="P254" t="s">
        <v>569</v>
      </c>
      <c r="Q254" t="s">
        <v>569</v>
      </c>
      <c r="R254">
        <v>13.352919590000001</v>
      </c>
      <c r="S254" t="s">
        <v>1213</v>
      </c>
      <c r="T254">
        <v>103.8517427</v>
      </c>
      <c r="U254" t="s">
        <v>1201</v>
      </c>
      <c r="V254" t="s">
        <v>569</v>
      </c>
      <c r="W254" t="s">
        <v>569</v>
      </c>
      <c r="X254" t="s">
        <v>569</v>
      </c>
      <c r="Y254" t="s">
        <v>569</v>
      </c>
      <c r="Z254" t="s">
        <v>569</v>
      </c>
      <c r="AA254" t="s">
        <v>1229</v>
      </c>
      <c r="AB254">
        <v>50</v>
      </c>
      <c r="AC2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5" spans="1:29" x14ac:dyDescent="0.25">
      <c r="A255" t="s">
        <v>623</v>
      </c>
      <c r="B255" t="s">
        <v>609</v>
      </c>
      <c r="C255" t="s">
        <v>613</v>
      </c>
      <c r="D255" t="s">
        <v>610</v>
      </c>
      <c r="E255" t="s">
        <v>611</v>
      </c>
      <c r="F255" t="s">
        <v>569</v>
      </c>
      <c r="G255" t="s">
        <v>569</v>
      </c>
      <c r="H255" t="s">
        <v>569</v>
      </c>
      <c r="I255" t="s">
        <v>569</v>
      </c>
      <c r="J255" t="s">
        <v>569</v>
      </c>
      <c r="K255">
        <v>0</v>
      </c>
      <c r="L255" t="s">
        <v>569</v>
      </c>
      <c r="M255" t="s">
        <v>569</v>
      </c>
      <c r="N255" t="s">
        <v>569</v>
      </c>
      <c r="O255" t="s">
        <v>569</v>
      </c>
      <c r="P255" t="s">
        <v>569</v>
      </c>
      <c r="Q255" t="s">
        <v>569</v>
      </c>
      <c r="R255">
        <v>35.949261679999999</v>
      </c>
      <c r="S255" t="s">
        <v>1213</v>
      </c>
      <c r="T255">
        <v>139.8619008</v>
      </c>
      <c r="U255" t="s">
        <v>1201</v>
      </c>
      <c r="V255" t="s">
        <v>569</v>
      </c>
      <c r="W255" t="s">
        <v>569</v>
      </c>
      <c r="X255" t="s">
        <v>569</v>
      </c>
      <c r="Y255" t="s">
        <v>569</v>
      </c>
      <c r="Z255" t="s">
        <v>569</v>
      </c>
      <c r="AA255" t="s">
        <v>1229</v>
      </c>
      <c r="AB255">
        <v>50</v>
      </c>
      <c r="AC25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6" spans="1:29" x14ac:dyDescent="0.25">
      <c r="A256" t="s">
        <v>966</v>
      </c>
      <c r="B256" t="s">
        <v>965</v>
      </c>
      <c r="C256" t="s">
        <v>677</v>
      </c>
      <c r="D256" t="s">
        <v>522</v>
      </c>
      <c r="E256" t="s">
        <v>523</v>
      </c>
      <c r="F256" t="s">
        <v>569</v>
      </c>
      <c r="G256" t="s">
        <v>569</v>
      </c>
      <c r="H256" t="s">
        <v>569</v>
      </c>
      <c r="I256" t="s">
        <v>569</v>
      </c>
      <c r="J256" t="s">
        <v>569</v>
      </c>
      <c r="K256">
        <v>0</v>
      </c>
      <c r="L256" t="s">
        <v>569</v>
      </c>
      <c r="M256" t="s">
        <v>569</v>
      </c>
      <c r="N256" t="s">
        <v>569</v>
      </c>
      <c r="O256" t="s">
        <v>569</v>
      </c>
      <c r="P256" t="s">
        <v>569</v>
      </c>
      <c r="Q256" t="s">
        <v>569</v>
      </c>
      <c r="R256">
        <v>-33.417604769999997</v>
      </c>
      <c r="S256" t="s">
        <v>1111</v>
      </c>
      <c r="T256">
        <v>151.27776059999999</v>
      </c>
      <c r="U256" t="s">
        <v>1201</v>
      </c>
      <c r="V256" t="s">
        <v>569</v>
      </c>
      <c r="W256" t="s">
        <v>569</v>
      </c>
      <c r="X256" t="s">
        <v>569</v>
      </c>
      <c r="Y256" t="s">
        <v>569</v>
      </c>
      <c r="Z256" t="s">
        <v>569</v>
      </c>
      <c r="AA256" t="s">
        <v>1230</v>
      </c>
      <c r="AB256">
        <v>50</v>
      </c>
      <c r="AC2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7" spans="1:29" x14ac:dyDescent="0.25">
      <c r="A257" t="s">
        <v>761</v>
      </c>
      <c r="B257" t="s">
        <v>541</v>
      </c>
      <c r="C257" t="s">
        <v>504</v>
      </c>
      <c r="D257" t="s">
        <v>501</v>
      </c>
      <c r="E257" t="s">
        <v>502</v>
      </c>
      <c r="F257" t="s">
        <v>569</v>
      </c>
      <c r="G257" t="s">
        <v>569</v>
      </c>
      <c r="H257" t="s">
        <v>569</v>
      </c>
      <c r="I257" t="s">
        <v>569</v>
      </c>
      <c r="J257" t="s">
        <v>569</v>
      </c>
      <c r="K257">
        <v>0</v>
      </c>
      <c r="L257" t="s">
        <v>569</v>
      </c>
      <c r="M257" t="s">
        <v>569</v>
      </c>
      <c r="N257" t="s">
        <v>569</v>
      </c>
      <c r="O257" t="s">
        <v>569</v>
      </c>
      <c r="P257" t="s">
        <v>569</v>
      </c>
      <c r="Q257" t="s">
        <v>569</v>
      </c>
      <c r="R257">
        <v>48.338793559999999</v>
      </c>
      <c r="S257" t="s">
        <v>1213</v>
      </c>
      <c r="T257">
        <v>-123.6693192</v>
      </c>
      <c r="U257" t="s">
        <v>1206</v>
      </c>
      <c r="V257" t="s">
        <v>569</v>
      </c>
      <c r="W257" t="s">
        <v>569</v>
      </c>
      <c r="X257" t="s">
        <v>569</v>
      </c>
      <c r="Y257" t="s">
        <v>569</v>
      </c>
      <c r="Z257" t="s">
        <v>569</v>
      </c>
      <c r="AA257" t="s">
        <v>1229</v>
      </c>
      <c r="AB257">
        <v>50</v>
      </c>
      <c r="AC2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8" spans="1:29" x14ac:dyDescent="0.25">
      <c r="A258" t="s">
        <v>942</v>
      </c>
      <c r="B258" t="s">
        <v>675</v>
      </c>
      <c r="C258" t="s">
        <v>677</v>
      </c>
      <c r="D258" t="s">
        <v>522</v>
      </c>
      <c r="E258" t="s">
        <v>523</v>
      </c>
      <c r="F258" t="s">
        <v>569</v>
      </c>
      <c r="G258" t="s">
        <v>569</v>
      </c>
      <c r="H258" t="s">
        <v>569</v>
      </c>
      <c r="I258" t="s">
        <v>569</v>
      </c>
      <c r="J258" t="s">
        <v>569</v>
      </c>
      <c r="K258">
        <v>0</v>
      </c>
      <c r="L258" t="s">
        <v>569</v>
      </c>
      <c r="M258" t="s">
        <v>569</v>
      </c>
      <c r="N258" t="s">
        <v>569</v>
      </c>
      <c r="O258" t="s">
        <v>569</v>
      </c>
      <c r="P258" t="s">
        <v>569</v>
      </c>
      <c r="Q258" t="s">
        <v>569</v>
      </c>
      <c r="R258">
        <v>-31.53772133</v>
      </c>
      <c r="S258" t="s">
        <v>1111</v>
      </c>
      <c r="T258">
        <v>152.68703120000001</v>
      </c>
      <c r="U258" t="s">
        <v>1201</v>
      </c>
      <c r="V258" t="s">
        <v>569</v>
      </c>
      <c r="W258" t="s">
        <v>569</v>
      </c>
      <c r="X258" t="s">
        <v>569</v>
      </c>
      <c r="Y258" t="s">
        <v>569</v>
      </c>
      <c r="Z258" t="s">
        <v>569</v>
      </c>
      <c r="AA258" t="s">
        <v>1229</v>
      </c>
      <c r="AB258">
        <v>50</v>
      </c>
      <c r="AC2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59" spans="1:29" x14ac:dyDescent="0.25">
      <c r="A259" t="s">
        <v>1342</v>
      </c>
      <c r="B259" t="s">
        <v>1267</v>
      </c>
      <c r="C259" t="s">
        <v>504</v>
      </c>
      <c r="D259" t="s">
        <v>501</v>
      </c>
      <c r="E259" t="s">
        <v>502</v>
      </c>
      <c r="F259" t="s">
        <v>569</v>
      </c>
      <c r="G259" t="s">
        <v>569</v>
      </c>
      <c r="H259" t="s">
        <v>569</v>
      </c>
      <c r="I259" t="s">
        <v>569</v>
      </c>
      <c r="J259" t="s">
        <v>569</v>
      </c>
      <c r="K259" t="s">
        <v>569</v>
      </c>
      <c r="L259" t="s">
        <v>569</v>
      </c>
      <c r="M259" t="s">
        <v>569</v>
      </c>
      <c r="N259" t="s">
        <v>569</v>
      </c>
      <c r="O259" t="s">
        <v>569</v>
      </c>
      <c r="P259" t="s">
        <v>569</v>
      </c>
      <c r="Q259" t="s">
        <v>569</v>
      </c>
      <c r="R259" t="s">
        <v>569</v>
      </c>
      <c r="S259" t="s">
        <v>569</v>
      </c>
      <c r="T259" t="s">
        <v>569</v>
      </c>
      <c r="U259" t="s">
        <v>569</v>
      </c>
      <c r="V259" t="s">
        <v>569</v>
      </c>
      <c r="W259" t="s">
        <v>569</v>
      </c>
      <c r="X259" t="s">
        <v>569</v>
      </c>
      <c r="Y259" t="s">
        <v>569</v>
      </c>
      <c r="Z259" t="s">
        <v>569</v>
      </c>
      <c r="AA259" t="s">
        <v>569</v>
      </c>
      <c r="AB259">
        <v>50</v>
      </c>
      <c r="AC25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0" spans="1:29" x14ac:dyDescent="0.25">
      <c r="A260" t="s">
        <v>539</v>
      </c>
      <c r="B260" t="s">
        <v>538</v>
      </c>
      <c r="C260" t="s">
        <v>504</v>
      </c>
      <c r="D260" t="s">
        <v>501</v>
      </c>
      <c r="E260" t="s">
        <v>502</v>
      </c>
      <c r="F260" t="s">
        <v>569</v>
      </c>
      <c r="G260" t="s">
        <v>569</v>
      </c>
      <c r="H260" t="s">
        <v>569</v>
      </c>
      <c r="I260" t="s">
        <v>569</v>
      </c>
      <c r="J260" t="s">
        <v>569</v>
      </c>
      <c r="K260">
        <v>0</v>
      </c>
      <c r="L260" t="s">
        <v>569</v>
      </c>
      <c r="M260" t="s">
        <v>569</v>
      </c>
      <c r="N260" t="s">
        <v>569</v>
      </c>
      <c r="O260" t="s">
        <v>569</v>
      </c>
      <c r="P260" t="s">
        <v>569</v>
      </c>
      <c r="Q260" t="s">
        <v>569</v>
      </c>
      <c r="R260">
        <v>48.60509914</v>
      </c>
      <c r="S260" t="s">
        <v>1213</v>
      </c>
      <c r="T260">
        <v>-123.52240380000001</v>
      </c>
      <c r="U260" t="s">
        <v>1206</v>
      </c>
      <c r="V260" t="s">
        <v>569</v>
      </c>
      <c r="W260" t="s">
        <v>569</v>
      </c>
      <c r="X260" t="s">
        <v>569</v>
      </c>
      <c r="Y260" t="s">
        <v>569</v>
      </c>
      <c r="Z260" t="s">
        <v>569</v>
      </c>
      <c r="AA260" t="s">
        <v>1229</v>
      </c>
      <c r="AB260">
        <v>50</v>
      </c>
      <c r="AC26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1" spans="1:29" x14ac:dyDescent="0.25">
      <c r="A261" t="s">
        <v>839</v>
      </c>
      <c r="B261" t="s">
        <v>505</v>
      </c>
      <c r="C261" t="s">
        <v>504</v>
      </c>
      <c r="D261" t="s">
        <v>501</v>
      </c>
      <c r="E261" t="s">
        <v>502</v>
      </c>
      <c r="F261" t="s">
        <v>569</v>
      </c>
      <c r="G261" t="s">
        <v>569</v>
      </c>
      <c r="H261" t="s">
        <v>569</v>
      </c>
      <c r="I261" t="s">
        <v>569</v>
      </c>
      <c r="J261" t="s">
        <v>569</v>
      </c>
      <c r="K261">
        <v>0</v>
      </c>
      <c r="L261" t="s">
        <v>569</v>
      </c>
      <c r="M261" t="s">
        <v>569</v>
      </c>
      <c r="N261" t="s">
        <v>569</v>
      </c>
      <c r="O261" t="s">
        <v>569</v>
      </c>
      <c r="P261" t="s">
        <v>569</v>
      </c>
      <c r="Q261" t="s">
        <v>569</v>
      </c>
      <c r="R261">
        <v>48.640523190000003</v>
      </c>
      <c r="S261" t="s">
        <v>1213</v>
      </c>
      <c r="T261">
        <v>-123.4210056</v>
      </c>
      <c r="U261" t="s">
        <v>1206</v>
      </c>
      <c r="V261" t="s">
        <v>569</v>
      </c>
      <c r="W261" t="s">
        <v>569</v>
      </c>
      <c r="X261" t="s">
        <v>569</v>
      </c>
      <c r="Y261" t="s">
        <v>569</v>
      </c>
      <c r="Z261" t="s">
        <v>569</v>
      </c>
      <c r="AA261" t="s">
        <v>1229</v>
      </c>
      <c r="AB261">
        <v>50</v>
      </c>
      <c r="AC26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2" spans="1:29" x14ac:dyDescent="0.25">
      <c r="A262" t="s">
        <v>881</v>
      </c>
      <c r="B262" t="s">
        <v>545</v>
      </c>
      <c r="C262" t="s">
        <v>504</v>
      </c>
      <c r="D262" t="s">
        <v>501</v>
      </c>
      <c r="E262" t="s">
        <v>502</v>
      </c>
      <c r="F262" t="s">
        <v>569</v>
      </c>
      <c r="G262" t="s">
        <v>569</v>
      </c>
      <c r="H262" t="s">
        <v>569</v>
      </c>
      <c r="I262" t="s">
        <v>569</v>
      </c>
      <c r="J262" t="s">
        <v>569</v>
      </c>
      <c r="K262">
        <v>0</v>
      </c>
      <c r="L262" t="s">
        <v>569</v>
      </c>
      <c r="M262" t="s">
        <v>569</v>
      </c>
      <c r="N262" t="s">
        <v>569</v>
      </c>
      <c r="O262" t="s">
        <v>569</v>
      </c>
      <c r="P262" t="s">
        <v>569</v>
      </c>
      <c r="Q262" t="s">
        <v>569</v>
      </c>
      <c r="R262">
        <v>48.567431630000002</v>
      </c>
      <c r="S262" t="s">
        <v>1213</v>
      </c>
      <c r="T262">
        <v>-123.5468602</v>
      </c>
      <c r="U262" t="s">
        <v>1206</v>
      </c>
      <c r="V262" t="s">
        <v>569</v>
      </c>
      <c r="W262" t="s">
        <v>569</v>
      </c>
      <c r="X262" t="s">
        <v>569</v>
      </c>
      <c r="Y262" t="s">
        <v>569</v>
      </c>
      <c r="Z262" t="s">
        <v>569</v>
      </c>
      <c r="AA262" t="s">
        <v>1229</v>
      </c>
      <c r="AB262">
        <v>50</v>
      </c>
      <c r="AC2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3" spans="1:29" x14ac:dyDescent="0.25">
      <c r="A263" t="s">
        <v>507</v>
      </c>
      <c r="B263" t="s">
        <v>505</v>
      </c>
      <c r="C263" t="s">
        <v>504</v>
      </c>
      <c r="D263" t="s">
        <v>501</v>
      </c>
      <c r="E263" t="s">
        <v>502</v>
      </c>
      <c r="F263" t="s">
        <v>569</v>
      </c>
      <c r="G263" t="s">
        <v>569</v>
      </c>
      <c r="H263" t="s">
        <v>569</v>
      </c>
      <c r="I263" t="s">
        <v>569</v>
      </c>
      <c r="J263" t="s">
        <v>569</v>
      </c>
      <c r="K263">
        <v>0</v>
      </c>
      <c r="L263" t="s">
        <v>569</v>
      </c>
      <c r="M263" t="s">
        <v>569</v>
      </c>
      <c r="N263" t="s">
        <v>569</v>
      </c>
      <c r="O263" t="s">
        <v>569</v>
      </c>
      <c r="P263" t="s">
        <v>569</v>
      </c>
      <c r="Q263" t="s">
        <v>569</v>
      </c>
      <c r="R263">
        <v>48.413863769999999</v>
      </c>
      <c r="S263" t="s">
        <v>1213</v>
      </c>
      <c r="T263">
        <v>-123.3615303</v>
      </c>
      <c r="U263" t="s">
        <v>1206</v>
      </c>
      <c r="V263" t="s">
        <v>569</v>
      </c>
      <c r="W263" t="s">
        <v>569</v>
      </c>
      <c r="X263" t="s">
        <v>569</v>
      </c>
      <c r="Y263" t="s">
        <v>569</v>
      </c>
      <c r="Z263" t="s">
        <v>569</v>
      </c>
      <c r="AA263" t="s">
        <v>1229</v>
      </c>
      <c r="AB263">
        <v>50</v>
      </c>
      <c r="AC2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4" spans="1:29" x14ac:dyDescent="0.25">
      <c r="A264" t="s">
        <v>602</v>
      </c>
      <c r="B264" t="s">
        <v>505</v>
      </c>
      <c r="C264" t="s">
        <v>504</v>
      </c>
      <c r="D264" t="s">
        <v>501</v>
      </c>
      <c r="E264" t="s">
        <v>502</v>
      </c>
      <c r="F264" t="s">
        <v>569</v>
      </c>
      <c r="G264" t="s">
        <v>569</v>
      </c>
      <c r="H264" t="s">
        <v>569</v>
      </c>
      <c r="I264" t="s">
        <v>569</v>
      </c>
      <c r="J264" t="s">
        <v>569</v>
      </c>
      <c r="K264">
        <v>0</v>
      </c>
      <c r="L264" t="s">
        <v>569</v>
      </c>
      <c r="M264" t="s">
        <v>569</v>
      </c>
      <c r="N264" t="s">
        <v>569</v>
      </c>
      <c r="O264" t="s">
        <v>569</v>
      </c>
      <c r="P264" t="s">
        <v>569</v>
      </c>
      <c r="Q264" t="s">
        <v>569</v>
      </c>
      <c r="R264">
        <v>48.511629339999999</v>
      </c>
      <c r="S264" t="s">
        <v>1213</v>
      </c>
      <c r="T264">
        <v>-123.38723659999999</v>
      </c>
      <c r="U264" t="s">
        <v>1206</v>
      </c>
      <c r="V264" t="s">
        <v>569</v>
      </c>
      <c r="W264" t="s">
        <v>569</v>
      </c>
      <c r="X264" t="s">
        <v>569</v>
      </c>
      <c r="Y264" t="s">
        <v>569</v>
      </c>
      <c r="Z264" t="s">
        <v>569</v>
      </c>
      <c r="AA264" t="s">
        <v>1229</v>
      </c>
      <c r="AB264">
        <v>50</v>
      </c>
      <c r="AC2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5" spans="1:29" x14ac:dyDescent="0.25">
      <c r="A265" t="s">
        <v>817</v>
      </c>
      <c r="B265" t="s">
        <v>505</v>
      </c>
      <c r="C265" t="s">
        <v>504</v>
      </c>
      <c r="D265" t="s">
        <v>501</v>
      </c>
      <c r="E265" t="s">
        <v>502</v>
      </c>
      <c r="F265" t="s">
        <v>569</v>
      </c>
      <c r="G265" t="s">
        <v>569</v>
      </c>
      <c r="H265" t="s">
        <v>569</v>
      </c>
      <c r="I265" t="s">
        <v>569</v>
      </c>
      <c r="J265" t="s">
        <v>569</v>
      </c>
      <c r="K265">
        <v>0</v>
      </c>
      <c r="L265" t="s">
        <v>569</v>
      </c>
      <c r="M265" t="s">
        <v>569</v>
      </c>
      <c r="N265" t="s">
        <v>569</v>
      </c>
      <c r="O265" t="s">
        <v>569</v>
      </c>
      <c r="P265" t="s">
        <v>569</v>
      </c>
      <c r="Q265" t="s">
        <v>569</v>
      </c>
      <c r="R265">
        <v>48.481159169999998</v>
      </c>
      <c r="S265" t="s">
        <v>1213</v>
      </c>
      <c r="T265">
        <v>-123.3738872</v>
      </c>
      <c r="U265" t="s">
        <v>1206</v>
      </c>
      <c r="V265" t="s">
        <v>569</v>
      </c>
      <c r="W265" t="s">
        <v>569</v>
      </c>
      <c r="X265" t="s">
        <v>569</v>
      </c>
      <c r="Y265" t="s">
        <v>569</v>
      </c>
      <c r="Z265" t="s">
        <v>569</v>
      </c>
      <c r="AA265" t="s">
        <v>1229</v>
      </c>
      <c r="AB265">
        <v>50</v>
      </c>
      <c r="AC2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6" spans="1:29" x14ac:dyDescent="0.25">
      <c r="A266" t="s">
        <v>856</v>
      </c>
      <c r="B266" t="s">
        <v>505</v>
      </c>
      <c r="C266" t="s">
        <v>504</v>
      </c>
      <c r="D266" t="s">
        <v>501</v>
      </c>
      <c r="E266" t="s">
        <v>502</v>
      </c>
      <c r="F266" t="s">
        <v>569</v>
      </c>
      <c r="G266" t="s">
        <v>569</v>
      </c>
      <c r="H266" t="s">
        <v>569</v>
      </c>
      <c r="I266" t="s">
        <v>569</v>
      </c>
      <c r="J266" t="s">
        <v>569</v>
      </c>
      <c r="K266">
        <v>0</v>
      </c>
      <c r="L266" t="s">
        <v>569</v>
      </c>
      <c r="M266" t="s">
        <v>569</v>
      </c>
      <c r="N266" t="s">
        <v>569</v>
      </c>
      <c r="O266" t="s">
        <v>569</v>
      </c>
      <c r="P266" t="s">
        <v>569</v>
      </c>
      <c r="Q266" t="s">
        <v>569</v>
      </c>
      <c r="R266">
        <v>48.438550589999998</v>
      </c>
      <c r="S266" t="s">
        <v>1213</v>
      </c>
      <c r="T266">
        <v>-123.5108221</v>
      </c>
      <c r="U266" t="s">
        <v>1206</v>
      </c>
      <c r="V266" t="s">
        <v>569</v>
      </c>
      <c r="W266" t="s">
        <v>569</v>
      </c>
      <c r="X266" t="s">
        <v>569</v>
      </c>
      <c r="Y266" t="s">
        <v>569</v>
      </c>
      <c r="Z266" t="s">
        <v>569</v>
      </c>
      <c r="AA266" t="s">
        <v>1229</v>
      </c>
      <c r="AB266">
        <v>50</v>
      </c>
      <c r="AC2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7" spans="1:29" x14ac:dyDescent="0.25">
      <c r="A267" t="s">
        <v>797</v>
      </c>
      <c r="B267" t="s">
        <v>794</v>
      </c>
      <c r="C267" t="s">
        <v>794</v>
      </c>
      <c r="D267" t="s">
        <v>795</v>
      </c>
      <c r="E267" t="s">
        <v>796</v>
      </c>
      <c r="F267" t="s">
        <v>569</v>
      </c>
      <c r="G267" t="s">
        <v>569</v>
      </c>
      <c r="H267" t="s">
        <v>569</v>
      </c>
      <c r="I267" t="s">
        <v>569</v>
      </c>
      <c r="J267" t="s">
        <v>569</v>
      </c>
      <c r="K267">
        <v>0</v>
      </c>
      <c r="L267" t="s">
        <v>569</v>
      </c>
      <c r="M267" t="s">
        <v>569</v>
      </c>
      <c r="N267" t="s">
        <v>569</v>
      </c>
      <c r="O267" t="s">
        <v>569</v>
      </c>
      <c r="P267" t="s">
        <v>569</v>
      </c>
      <c r="Q267" t="s">
        <v>569</v>
      </c>
      <c r="R267">
        <v>10.772645260000001</v>
      </c>
      <c r="S267" t="s">
        <v>1213</v>
      </c>
      <c r="T267">
        <v>106.6979688</v>
      </c>
      <c r="U267" t="s">
        <v>1201</v>
      </c>
      <c r="V267" t="s">
        <v>569</v>
      </c>
      <c r="W267" t="s">
        <v>569</v>
      </c>
      <c r="X267" t="s">
        <v>569</v>
      </c>
      <c r="Y267" t="s">
        <v>569</v>
      </c>
      <c r="Z267" t="s">
        <v>569</v>
      </c>
      <c r="AA267" t="s">
        <v>1229</v>
      </c>
      <c r="AB267">
        <v>50</v>
      </c>
      <c r="AC2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8" spans="1:29" x14ac:dyDescent="0.25">
      <c r="A268" t="s">
        <v>903</v>
      </c>
      <c r="B268" t="s">
        <v>896</v>
      </c>
      <c r="C268" t="s">
        <v>504</v>
      </c>
      <c r="D268" t="s">
        <v>501</v>
      </c>
      <c r="E268" t="s">
        <v>502</v>
      </c>
      <c r="F268" t="s">
        <v>569</v>
      </c>
      <c r="G268" t="s">
        <v>569</v>
      </c>
      <c r="H268" t="s">
        <v>569</v>
      </c>
      <c r="I268" t="s">
        <v>569</v>
      </c>
      <c r="J268" t="s">
        <v>569</v>
      </c>
      <c r="K268">
        <v>0</v>
      </c>
      <c r="L268" t="s">
        <v>569</v>
      </c>
      <c r="M268" t="s">
        <v>569</v>
      </c>
      <c r="N268" t="s">
        <v>569</v>
      </c>
      <c r="O268" t="s">
        <v>569</v>
      </c>
      <c r="P268" t="s">
        <v>569</v>
      </c>
      <c r="Q268" t="s">
        <v>569</v>
      </c>
      <c r="R268">
        <v>48.846714009999999</v>
      </c>
      <c r="S268" t="s">
        <v>1213</v>
      </c>
      <c r="T268">
        <v>-123.2504761</v>
      </c>
      <c r="U268" t="s">
        <v>1206</v>
      </c>
      <c r="V268" t="s">
        <v>569</v>
      </c>
      <c r="W268" t="s">
        <v>569</v>
      </c>
      <c r="X268" t="s">
        <v>569</v>
      </c>
      <c r="Y268" t="s">
        <v>569</v>
      </c>
      <c r="Z268" t="s">
        <v>569</v>
      </c>
      <c r="AA268" t="s">
        <v>1229</v>
      </c>
      <c r="AB268">
        <v>50</v>
      </c>
      <c r="AC26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69" spans="1:29" x14ac:dyDescent="0.25">
      <c r="A269" t="s">
        <v>676</v>
      </c>
      <c r="B269" t="s">
        <v>675</v>
      </c>
      <c r="C269" t="s">
        <v>677</v>
      </c>
      <c r="D269" t="s">
        <v>522</v>
      </c>
      <c r="E269" t="s">
        <v>523</v>
      </c>
      <c r="F269" t="s">
        <v>569</v>
      </c>
      <c r="G269" t="s">
        <v>569</v>
      </c>
      <c r="H269" t="s">
        <v>569</v>
      </c>
      <c r="I269" t="s">
        <v>569</v>
      </c>
      <c r="J269" t="s">
        <v>569</v>
      </c>
      <c r="K269">
        <v>0</v>
      </c>
      <c r="L269" t="s">
        <v>569</v>
      </c>
      <c r="M269" t="s">
        <v>569</v>
      </c>
      <c r="N269" t="s">
        <v>569</v>
      </c>
      <c r="O269" t="s">
        <v>569</v>
      </c>
      <c r="P269" t="s">
        <v>569</v>
      </c>
      <c r="Q269" t="s">
        <v>569</v>
      </c>
      <c r="R269">
        <v>-31.45853567</v>
      </c>
      <c r="S269" t="s">
        <v>1111</v>
      </c>
      <c r="T269">
        <v>152.81992940000001</v>
      </c>
      <c r="U269" t="s">
        <v>1201</v>
      </c>
      <c r="V269" t="s">
        <v>569</v>
      </c>
      <c r="W269" t="s">
        <v>569</v>
      </c>
      <c r="X269" t="s">
        <v>569</v>
      </c>
      <c r="Y269" t="s">
        <v>569</v>
      </c>
      <c r="Z269" s="9">
        <v>0</v>
      </c>
      <c r="AA269" t="s">
        <v>1230</v>
      </c>
      <c r="AB269">
        <v>50</v>
      </c>
      <c r="AC2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0" spans="1:29" x14ac:dyDescent="0.25">
      <c r="A270" t="s">
        <v>1326</v>
      </c>
      <c r="B270" t="s">
        <v>505</v>
      </c>
      <c r="C270" t="s">
        <v>504</v>
      </c>
      <c r="D270" t="s">
        <v>501</v>
      </c>
      <c r="E270" t="s">
        <v>502</v>
      </c>
      <c r="F270" t="s">
        <v>569</v>
      </c>
      <c r="G270" t="s">
        <v>569</v>
      </c>
      <c r="H270" t="s">
        <v>569</v>
      </c>
      <c r="I270" t="s">
        <v>569</v>
      </c>
      <c r="J270" t="s">
        <v>569</v>
      </c>
      <c r="K270" t="s">
        <v>569</v>
      </c>
      <c r="L270" t="s">
        <v>569</v>
      </c>
      <c r="M270" t="s">
        <v>569</v>
      </c>
      <c r="N270" t="s">
        <v>569</v>
      </c>
      <c r="O270" t="s">
        <v>569</v>
      </c>
      <c r="P270" t="s">
        <v>569</v>
      </c>
      <c r="Q270" t="s">
        <v>569</v>
      </c>
      <c r="R270">
        <v>48.387507999999997</v>
      </c>
      <c r="S270" t="s">
        <v>1213</v>
      </c>
      <c r="T270">
        <v>-123.524331</v>
      </c>
      <c r="U270" t="s">
        <v>1206</v>
      </c>
      <c r="V270" t="s">
        <v>569</v>
      </c>
      <c r="W270" t="s">
        <v>569</v>
      </c>
      <c r="X270" t="s">
        <v>569</v>
      </c>
      <c r="Y270" t="s">
        <v>569</v>
      </c>
      <c r="Z270" t="s">
        <v>569</v>
      </c>
      <c r="AA270" t="s">
        <v>569</v>
      </c>
      <c r="AB270">
        <v>50</v>
      </c>
      <c r="AC27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1" spans="1:29" x14ac:dyDescent="0.25">
      <c r="A271" t="s">
        <v>547</v>
      </c>
      <c r="B271" t="s">
        <v>505</v>
      </c>
      <c r="C271" t="s">
        <v>504</v>
      </c>
      <c r="D271" t="s">
        <v>501</v>
      </c>
      <c r="E271" t="s">
        <v>502</v>
      </c>
      <c r="F271" t="s">
        <v>569</v>
      </c>
      <c r="G271" t="s">
        <v>569</v>
      </c>
      <c r="H271" t="s">
        <v>569</v>
      </c>
      <c r="I271" t="s">
        <v>569</v>
      </c>
      <c r="J271" t="s">
        <v>569</v>
      </c>
      <c r="K271">
        <v>0</v>
      </c>
      <c r="L271" t="s">
        <v>569</v>
      </c>
      <c r="M271" t="s">
        <v>569</v>
      </c>
      <c r="N271" t="s">
        <v>569</v>
      </c>
      <c r="O271" t="s">
        <v>569</v>
      </c>
      <c r="P271" t="s">
        <v>569</v>
      </c>
      <c r="Q271" t="s">
        <v>569</v>
      </c>
      <c r="R271">
        <v>48.387800579999997</v>
      </c>
      <c r="S271" t="s">
        <v>1213</v>
      </c>
      <c r="T271">
        <v>-123.5759997</v>
      </c>
      <c r="U271" t="s">
        <v>1206</v>
      </c>
      <c r="V271" t="s">
        <v>569</v>
      </c>
      <c r="W271" t="s">
        <v>569</v>
      </c>
      <c r="X271" t="s">
        <v>569</v>
      </c>
      <c r="Y271" t="s">
        <v>569</v>
      </c>
      <c r="Z271" t="s">
        <v>569</v>
      </c>
      <c r="AA271" t="s">
        <v>1229</v>
      </c>
      <c r="AB271">
        <v>50</v>
      </c>
      <c r="AC27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2" spans="1:29" x14ac:dyDescent="0.25">
      <c r="A272" t="s">
        <v>1492</v>
      </c>
      <c r="B272" t="s">
        <v>1388</v>
      </c>
      <c r="C272" t="s">
        <v>504</v>
      </c>
      <c r="D272" t="s">
        <v>501</v>
      </c>
      <c r="E272" t="s">
        <v>502</v>
      </c>
      <c r="F272" t="s">
        <v>569</v>
      </c>
      <c r="G272" t="s">
        <v>569</v>
      </c>
      <c r="H272" t="s">
        <v>569</v>
      </c>
      <c r="I272" t="s">
        <v>569</v>
      </c>
      <c r="J272" t="s">
        <v>569</v>
      </c>
      <c r="K272" t="s">
        <v>569</v>
      </c>
      <c r="L272" t="s">
        <v>569</v>
      </c>
      <c r="M272" t="s">
        <v>569</v>
      </c>
      <c r="N272" t="s">
        <v>569</v>
      </c>
      <c r="O272" t="s">
        <v>569</v>
      </c>
      <c r="P272" t="s">
        <v>569</v>
      </c>
      <c r="Q272" t="s">
        <v>569</v>
      </c>
      <c r="R272" t="s">
        <v>569</v>
      </c>
      <c r="S272" t="s">
        <v>569</v>
      </c>
      <c r="T272" t="s">
        <v>569</v>
      </c>
      <c r="U272" t="s">
        <v>569</v>
      </c>
      <c r="V272" t="s">
        <v>569</v>
      </c>
      <c r="W272" t="s">
        <v>569</v>
      </c>
      <c r="X272" t="s">
        <v>569</v>
      </c>
      <c r="Y272" t="s">
        <v>569</v>
      </c>
      <c r="Z272" t="s">
        <v>569</v>
      </c>
      <c r="AA272" t="s">
        <v>569</v>
      </c>
      <c r="AB272">
        <v>50</v>
      </c>
      <c r="AC27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3" spans="1:29" x14ac:dyDescent="0.25">
      <c r="A273" t="s">
        <v>840</v>
      </c>
      <c r="B273" t="s">
        <v>505</v>
      </c>
      <c r="C273" t="s">
        <v>504</v>
      </c>
      <c r="D273" t="s">
        <v>501</v>
      </c>
      <c r="E273" t="s">
        <v>502</v>
      </c>
      <c r="F273" t="s">
        <v>569</v>
      </c>
      <c r="G273" t="s">
        <v>569</v>
      </c>
      <c r="H273" t="s">
        <v>569</v>
      </c>
      <c r="I273" t="s">
        <v>569</v>
      </c>
      <c r="J273" t="s">
        <v>569</v>
      </c>
      <c r="K273">
        <v>0</v>
      </c>
      <c r="L273" t="s">
        <v>569</v>
      </c>
      <c r="M273" t="s">
        <v>569</v>
      </c>
      <c r="N273" t="s">
        <v>569</v>
      </c>
      <c r="O273" t="s">
        <v>569</v>
      </c>
      <c r="P273" t="s">
        <v>569</v>
      </c>
      <c r="Q273" t="s">
        <v>569</v>
      </c>
      <c r="R273">
        <v>48.423864539999997</v>
      </c>
      <c r="S273" t="s">
        <v>1213</v>
      </c>
      <c r="T273">
        <v>-123.36273730000001</v>
      </c>
      <c r="U273" t="s">
        <v>1206</v>
      </c>
      <c r="V273" t="s">
        <v>569</v>
      </c>
      <c r="W273" t="s">
        <v>569</v>
      </c>
      <c r="X273" t="s">
        <v>569</v>
      </c>
      <c r="Y273" t="s">
        <v>569</v>
      </c>
      <c r="Z273" t="s">
        <v>569</v>
      </c>
      <c r="AA273" t="s">
        <v>1229</v>
      </c>
      <c r="AB273">
        <v>50</v>
      </c>
      <c r="AC2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4" spans="1:29" x14ac:dyDescent="0.25">
      <c r="A274" t="s">
        <v>601</v>
      </c>
      <c r="B274" t="s">
        <v>600</v>
      </c>
      <c r="C274" t="s">
        <v>504</v>
      </c>
      <c r="D274" t="s">
        <v>501</v>
      </c>
      <c r="E274" t="s">
        <v>502</v>
      </c>
      <c r="F274" t="s">
        <v>569</v>
      </c>
      <c r="G274" t="s">
        <v>569</v>
      </c>
      <c r="H274" t="s">
        <v>569</v>
      </c>
      <c r="I274" t="s">
        <v>569</v>
      </c>
      <c r="J274" t="s">
        <v>569</v>
      </c>
      <c r="K274">
        <v>0</v>
      </c>
      <c r="L274" t="s">
        <v>569</v>
      </c>
      <c r="M274" t="s">
        <v>569</v>
      </c>
      <c r="N274" t="s">
        <v>569</v>
      </c>
      <c r="O274" t="s">
        <v>569</v>
      </c>
      <c r="P274" t="s">
        <v>569</v>
      </c>
      <c r="Q274" t="s">
        <v>569</v>
      </c>
      <c r="R274">
        <v>48.525849469999997</v>
      </c>
      <c r="S274" t="s">
        <v>1213</v>
      </c>
      <c r="T274">
        <v>-124.442364</v>
      </c>
      <c r="U274" t="s">
        <v>1206</v>
      </c>
      <c r="V274" t="s">
        <v>569</v>
      </c>
      <c r="W274" t="s">
        <v>569</v>
      </c>
      <c r="X274" t="s">
        <v>569</v>
      </c>
      <c r="Y274" t="s">
        <v>569</v>
      </c>
      <c r="Z274" t="s">
        <v>569</v>
      </c>
      <c r="AA274" t="s">
        <v>1229</v>
      </c>
      <c r="AB274">
        <v>50</v>
      </c>
      <c r="AC27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5" spans="1:29" x14ac:dyDescent="0.25">
      <c r="A275" t="s">
        <v>607</v>
      </c>
      <c r="B275" t="s">
        <v>505</v>
      </c>
      <c r="C275" t="s">
        <v>504</v>
      </c>
      <c r="D275" t="s">
        <v>501</v>
      </c>
      <c r="E275" t="s">
        <v>502</v>
      </c>
      <c r="F275" t="s">
        <v>569</v>
      </c>
      <c r="G275" t="s">
        <v>569</v>
      </c>
      <c r="H275" t="s">
        <v>569</v>
      </c>
      <c r="I275" t="s">
        <v>569</v>
      </c>
      <c r="J275" t="s">
        <v>569</v>
      </c>
      <c r="K275">
        <v>0</v>
      </c>
      <c r="L275" t="s">
        <v>569</v>
      </c>
      <c r="M275" t="s">
        <v>569</v>
      </c>
      <c r="N275" t="s">
        <v>569</v>
      </c>
      <c r="O275" t="s">
        <v>569</v>
      </c>
      <c r="P275" t="s">
        <v>569</v>
      </c>
      <c r="Q275" t="s">
        <v>569</v>
      </c>
      <c r="R275">
        <v>48.413934990000001</v>
      </c>
      <c r="S275" t="s">
        <v>1213</v>
      </c>
      <c r="T275">
        <v>-123.38723659999999</v>
      </c>
      <c r="U275" t="s">
        <v>1206</v>
      </c>
      <c r="V275" t="s">
        <v>569</v>
      </c>
      <c r="W275" t="s">
        <v>569</v>
      </c>
      <c r="X275" t="s">
        <v>569</v>
      </c>
      <c r="Y275" t="s">
        <v>569</v>
      </c>
      <c r="Z275" t="s">
        <v>569</v>
      </c>
      <c r="AA275" t="s">
        <v>1229</v>
      </c>
      <c r="AB275">
        <v>50</v>
      </c>
      <c r="AC2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6" spans="1:29" x14ac:dyDescent="0.25">
      <c r="A276" t="s">
        <v>779</v>
      </c>
      <c r="B276" t="s">
        <v>776</v>
      </c>
      <c r="C276" t="s">
        <v>780</v>
      </c>
      <c r="D276" t="s">
        <v>777</v>
      </c>
      <c r="E276" t="s">
        <v>778</v>
      </c>
      <c r="F276" t="s">
        <v>569</v>
      </c>
      <c r="G276" t="s">
        <v>569</v>
      </c>
      <c r="H276" t="s">
        <v>569</v>
      </c>
      <c r="I276" t="s">
        <v>569</v>
      </c>
      <c r="J276" t="s">
        <v>569</v>
      </c>
      <c r="K276">
        <v>0</v>
      </c>
      <c r="L276" t="s">
        <v>569</v>
      </c>
      <c r="M276" t="s">
        <v>569</v>
      </c>
      <c r="N276" t="s">
        <v>569</v>
      </c>
      <c r="O276" t="s">
        <v>569</v>
      </c>
      <c r="P276" t="s">
        <v>569</v>
      </c>
      <c r="Q276" t="s">
        <v>569</v>
      </c>
      <c r="R276">
        <v>14.041130860000001</v>
      </c>
      <c r="S276" t="s">
        <v>1213</v>
      </c>
      <c r="T276">
        <v>99.50368881</v>
      </c>
      <c r="U276" t="s">
        <v>1201</v>
      </c>
      <c r="V276" t="s">
        <v>569</v>
      </c>
      <c r="W276" t="s">
        <v>569</v>
      </c>
      <c r="X276" t="s">
        <v>569</v>
      </c>
      <c r="Y276" t="s">
        <v>569</v>
      </c>
      <c r="Z276" t="s">
        <v>569</v>
      </c>
      <c r="AA276" t="s">
        <v>1229</v>
      </c>
      <c r="AB276">
        <v>50</v>
      </c>
      <c r="AC2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7" spans="1:29" x14ac:dyDescent="0.25">
      <c r="A277" t="s">
        <v>963</v>
      </c>
      <c r="B277" t="s">
        <v>753</v>
      </c>
      <c r="C277" t="s">
        <v>504</v>
      </c>
      <c r="D277" t="s">
        <v>501</v>
      </c>
      <c r="E277" t="s">
        <v>502</v>
      </c>
      <c r="F277" t="s">
        <v>569</v>
      </c>
      <c r="G277" t="s">
        <v>569</v>
      </c>
      <c r="H277" t="s">
        <v>569</v>
      </c>
      <c r="I277" t="s">
        <v>569</v>
      </c>
      <c r="J277" t="s">
        <v>569</v>
      </c>
      <c r="K277">
        <v>0</v>
      </c>
      <c r="L277" t="s">
        <v>569</v>
      </c>
      <c r="M277" t="s">
        <v>569</v>
      </c>
      <c r="N277" t="s">
        <v>569</v>
      </c>
      <c r="O277" t="s">
        <v>569</v>
      </c>
      <c r="P277" t="s">
        <v>569</v>
      </c>
      <c r="Q277" t="s">
        <v>569</v>
      </c>
      <c r="R277">
        <v>49.195085800000001</v>
      </c>
      <c r="S277" t="s">
        <v>1213</v>
      </c>
      <c r="T277">
        <v>-123.1277419</v>
      </c>
      <c r="U277" t="s">
        <v>1206</v>
      </c>
      <c r="V277" t="s">
        <v>569</v>
      </c>
      <c r="W277" t="s">
        <v>569</v>
      </c>
      <c r="X277" t="s">
        <v>569</v>
      </c>
      <c r="Y277" t="s">
        <v>569</v>
      </c>
      <c r="Z277" t="s">
        <v>569</v>
      </c>
      <c r="AA277" t="s">
        <v>1229</v>
      </c>
      <c r="AB277">
        <v>50</v>
      </c>
      <c r="AC2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8" spans="1:29" x14ac:dyDescent="0.25">
      <c r="A278" t="s">
        <v>529</v>
      </c>
      <c r="B278" t="s">
        <v>528</v>
      </c>
      <c r="C278" t="s">
        <v>504</v>
      </c>
      <c r="D278" t="s">
        <v>501</v>
      </c>
      <c r="E278" t="s">
        <v>502</v>
      </c>
      <c r="F278" t="s">
        <v>569</v>
      </c>
      <c r="G278" t="s">
        <v>569</v>
      </c>
      <c r="H278" t="s">
        <v>569</v>
      </c>
      <c r="I278" t="s">
        <v>569</v>
      </c>
      <c r="J278" t="s">
        <v>569</v>
      </c>
      <c r="K278">
        <v>0</v>
      </c>
      <c r="L278" t="s">
        <v>569</v>
      </c>
      <c r="M278" t="s">
        <v>569</v>
      </c>
      <c r="N278" t="s">
        <v>569</v>
      </c>
      <c r="O278" t="s">
        <v>569</v>
      </c>
      <c r="P278" t="s">
        <v>569</v>
      </c>
      <c r="Q278" t="s">
        <v>569</v>
      </c>
      <c r="R278">
        <v>49.622679890000001</v>
      </c>
      <c r="S278" t="s">
        <v>1213</v>
      </c>
      <c r="T278">
        <v>-123.20381639999999</v>
      </c>
      <c r="U278" t="s">
        <v>1206</v>
      </c>
      <c r="V278" t="s">
        <v>569</v>
      </c>
      <c r="W278" t="s">
        <v>569</v>
      </c>
      <c r="X278" t="s">
        <v>569</v>
      </c>
      <c r="Y278" t="s">
        <v>569</v>
      </c>
      <c r="Z278" t="s">
        <v>569</v>
      </c>
      <c r="AA278" t="s">
        <v>1229</v>
      </c>
      <c r="AB278">
        <v>50</v>
      </c>
      <c r="AC2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79" spans="1:29" x14ac:dyDescent="0.25">
      <c r="A279" t="s">
        <v>605</v>
      </c>
      <c r="B279" t="s">
        <v>505</v>
      </c>
      <c r="C279" t="s">
        <v>504</v>
      </c>
      <c r="D279" t="s">
        <v>501</v>
      </c>
      <c r="E279" t="s">
        <v>502</v>
      </c>
      <c r="F279" t="s">
        <v>569</v>
      </c>
      <c r="G279" t="s">
        <v>569</v>
      </c>
      <c r="H279" t="s">
        <v>569</v>
      </c>
      <c r="I279" t="s">
        <v>569</v>
      </c>
      <c r="J279" t="s">
        <v>569</v>
      </c>
      <c r="K279">
        <v>0</v>
      </c>
      <c r="L279" t="s">
        <v>569</v>
      </c>
      <c r="M279" t="s">
        <v>569</v>
      </c>
      <c r="N279" t="s">
        <v>569</v>
      </c>
      <c r="O279" t="s">
        <v>569</v>
      </c>
      <c r="P279" t="s">
        <v>569</v>
      </c>
      <c r="Q279" t="s">
        <v>569</v>
      </c>
      <c r="R279">
        <v>48.421668029999999</v>
      </c>
      <c r="S279" t="s">
        <v>1213</v>
      </c>
      <c r="T279">
        <v>-123.36835379999999</v>
      </c>
      <c r="U279" t="s">
        <v>1206</v>
      </c>
      <c r="V279" t="s">
        <v>569</v>
      </c>
      <c r="W279" t="s">
        <v>569</v>
      </c>
      <c r="X279" t="s">
        <v>569</v>
      </c>
      <c r="Y279" t="s">
        <v>569</v>
      </c>
      <c r="Z279" t="s">
        <v>569</v>
      </c>
      <c r="AA279" t="s">
        <v>1229</v>
      </c>
      <c r="AB279">
        <v>50</v>
      </c>
      <c r="AC2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0" spans="1:29" x14ac:dyDescent="0.25">
      <c r="A280" t="s">
        <v>1345</v>
      </c>
      <c r="B280" t="s">
        <v>1346</v>
      </c>
      <c r="C280" t="s">
        <v>504</v>
      </c>
      <c r="D280" t="s">
        <v>501</v>
      </c>
      <c r="E280" t="s">
        <v>502</v>
      </c>
      <c r="F280" t="s">
        <v>569</v>
      </c>
      <c r="G280" t="s">
        <v>569</v>
      </c>
      <c r="H280" t="s">
        <v>569</v>
      </c>
      <c r="I280" t="s">
        <v>569</v>
      </c>
      <c r="J280" t="s">
        <v>569</v>
      </c>
      <c r="K280" t="s">
        <v>569</v>
      </c>
      <c r="L280" t="s">
        <v>569</v>
      </c>
      <c r="M280" t="s">
        <v>569</v>
      </c>
      <c r="N280" t="s">
        <v>569</v>
      </c>
      <c r="O280" t="s">
        <v>569</v>
      </c>
      <c r="P280" t="s">
        <v>569</v>
      </c>
      <c r="Q280" t="s">
        <v>569</v>
      </c>
      <c r="R280" t="s">
        <v>569</v>
      </c>
      <c r="S280" t="s">
        <v>569</v>
      </c>
      <c r="T280" t="s">
        <v>569</v>
      </c>
      <c r="U280" t="s">
        <v>569</v>
      </c>
      <c r="V280" t="s">
        <v>569</v>
      </c>
      <c r="W280" t="s">
        <v>569</v>
      </c>
      <c r="X280" t="s">
        <v>569</v>
      </c>
      <c r="Y280" t="s">
        <v>569</v>
      </c>
      <c r="Z280" t="s">
        <v>569</v>
      </c>
      <c r="AA280" t="s">
        <v>569</v>
      </c>
      <c r="AB280">
        <v>50</v>
      </c>
      <c r="AC28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1" spans="1:29" x14ac:dyDescent="0.25">
      <c r="A281" t="s">
        <v>994</v>
      </c>
      <c r="B281" t="s">
        <v>696</v>
      </c>
      <c r="C281" t="s">
        <v>677</v>
      </c>
      <c r="D281" t="s">
        <v>522</v>
      </c>
      <c r="E281" t="s">
        <v>523</v>
      </c>
      <c r="F281" t="s">
        <v>569</v>
      </c>
      <c r="G281" t="s">
        <v>569</v>
      </c>
      <c r="H281" t="s">
        <v>569</v>
      </c>
      <c r="I281" t="s">
        <v>569</v>
      </c>
      <c r="J281" t="s">
        <v>569</v>
      </c>
      <c r="K281" t="s">
        <v>569</v>
      </c>
      <c r="L281" t="s">
        <v>569</v>
      </c>
      <c r="M281" t="s">
        <v>569</v>
      </c>
      <c r="N281" t="s">
        <v>569</v>
      </c>
      <c r="O281" t="s">
        <v>569</v>
      </c>
      <c r="P281" t="s">
        <v>569</v>
      </c>
      <c r="Q281" t="s">
        <v>569</v>
      </c>
      <c r="R281">
        <v>-33.883449519999999</v>
      </c>
      <c r="S281" t="s">
        <v>1111</v>
      </c>
      <c r="T281">
        <v>151.19457449999999</v>
      </c>
      <c r="U281" t="s">
        <v>1201</v>
      </c>
      <c r="V281" t="s">
        <v>569</v>
      </c>
      <c r="W281" t="s">
        <v>569</v>
      </c>
      <c r="X281" t="s">
        <v>569</v>
      </c>
      <c r="Y281" t="s">
        <v>569</v>
      </c>
      <c r="Z281" t="s">
        <v>569</v>
      </c>
      <c r="AA281" t="s">
        <v>569</v>
      </c>
      <c r="AB281">
        <v>50</v>
      </c>
      <c r="AC2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2" spans="1:29" x14ac:dyDescent="0.25">
      <c r="A282" t="s">
        <v>996</v>
      </c>
      <c r="B282" t="s">
        <v>948</v>
      </c>
      <c r="C282" t="s">
        <v>707</v>
      </c>
      <c r="D282" t="s">
        <v>522</v>
      </c>
      <c r="E282" t="s">
        <v>523</v>
      </c>
      <c r="F282" t="s">
        <v>569</v>
      </c>
      <c r="G282" t="s">
        <v>569</v>
      </c>
      <c r="H282" t="s">
        <v>569</v>
      </c>
      <c r="I282" t="s">
        <v>569</v>
      </c>
      <c r="J282" t="s">
        <v>569</v>
      </c>
      <c r="K282" t="s">
        <v>569</v>
      </c>
      <c r="L282" t="s">
        <v>569</v>
      </c>
      <c r="M282" t="s">
        <v>569</v>
      </c>
      <c r="N282" t="s">
        <v>569</v>
      </c>
      <c r="O282" t="s">
        <v>569</v>
      </c>
      <c r="P282" t="s">
        <v>569</v>
      </c>
      <c r="Q282" t="s">
        <v>569</v>
      </c>
      <c r="R282" s="4">
        <v>-16.260159944352498</v>
      </c>
      <c r="S282" t="s">
        <v>1111</v>
      </c>
      <c r="T282" s="4">
        <v>145.36474727113799</v>
      </c>
      <c r="U282" t="s">
        <v>1201</v>
      </c>
      <c r="V282" t="s">
        <v>569</v>
      </c>
      <c r="W282" t="s">
        <v>569</v>
      </c>
      <c r="X282" t="s">
        <v>569</v>
      </c>
      <c r="Y282" t="s">
        <v>569</v>
      </c>
      <c r="Z282" t="s">
        <v>569</v>
      </c>
      <c r="AA282" t="s">
        <v>569</v>
      </c>
      <c r="AB282">
        <v>50</v>
      </c>
      <c r="AC2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3" spans="1:29" x14ac:dyDescent="0.25">
      <c r="A283" t="s">
        <v>614</v>
      </c>
      <c r="B283" t="s">
        <v>609</v>
      </c>
      <c r="C283" t="s">
        <v>613</v>
      </c>
      <c r="D283" t="s">
        <v>610</v>
      </c>
      <c r="E283" t="s">
        <v>611</v>
      </c>
      <c r="F283" t="s">
        <v>569</v>
      </c>
      <c r="G283" t="s">
        <v>569</v>
      </c>
      <c r="H283" t="s">
        <v>569</v>
      </c>
      <c r="I283" t="s">
        <v>569</v>
      </c>
      <c r="J283" t="s">
        <v>569</v>
      </c>
      <c r="K283">
        <v>0</v>
      </c>
      <c r="L283" t="s">
        <v>569</v>
      </c>
      <c r="M283" t="s">
        <v>569</v>
      </c>
      <c r="N283" t="s">
        <v>569</v>
      </c>
      <c r="O283" t="s">
        <v>569</v>
      </c>
      <c r="P283" t="s">
        <v>569</v>
      </c>
      <c r="Q283" t="s">
        <v>569</v>
      </c>
      <c r="R283">
        <v>35.949261679999999</v>
      </c>
      <c r="S283" t="s">
        <v>1213</v>
      </c>
      <c r="T283">
        <v>139.8619008</v>
      </c>
      <c r="U283" t="s">
        <v>1201</v>
      </c>
      <c r="V283" t="s">
        <v>569</v>
      </c>
      <c r="W283" t="s">
        <v>569</v>
      </c>
      <c r="X283" t="s">
        <v>569</v>
      </c>
      <c r="Y283" t="s">
        <v>569</v>
      </c>
      <c r="Z283" t="s">
        <v>569</v>
      </c>
      <c r="AA283" t="s">
        <v>1229</v>
      </c>
      <c r="AB283">
        <v>50</v>
      </c>
      <c r="AC2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4" spans="1:29" x14ac:dyDescent="0.25">
      <c r="A284" t="s">
        <v>805</v>
      </c>
      <c r="B284" t="s">
        <v>505</v>
      </c>
      <c r="C284" t="s">
        <v>504</v>
      </c>
      <c r="D284" t="s">
        <v>501</v>
      </c>
      <c r="E284" t="s">
        <v>502</v>
      </c>
      <c r="F284" t="s">
        <v>569</v>
      </c>
      <c r="G284" t="s">
        <v>569</v>
      </c>
      <c r="H284" t="s">
        <v>569</v>
      </c>
      <c r="I284" t="s">
        <v>569</v>
      </c>
      <c r="J284">
        <v>22.092591550000002</v>
      </c>
      <c r="K284">
        <v>0</v>
      </c>
      <c r="L284">
        <v>355.60891720000001</v>
      </c>
      <c r="M284" t="s">
        <v>1204</v>
      </c>
      <c r="N284" t="s">
        <v>569</v>
      </c>
      <c r="O284">
        <v>32.004833040000001</v>
      </c>
      <c r="P284">
        <v>355.60891720000001</v>
      </c>
      <c r="Q284" t="s">
        <v>1204</v>
      </c>
      <c r="R284">
        <v>48.565063889999998</v>
      </c>
      <c r="S284" t="s">
        <v>1213</v>
      </c>
      <c r="T284">
        <v>-123.4682083</v>
      </c>
      <c r="U284" t="s">
        <v>1206</v>
      </c>
      <c r="V284" t="s">
        <v>569</v>
      </c>
      <c r="W284" t="s">
        <v>569</v>
      </c>
      <c r="X284">
        <v>3.2608277999999997E-2</v>
      </c>
      <c r="Y284" t="s">
        <v>1214</v>
      </c>
      <c r="Z284" t="s">
        <v>569</v>
      </c>
      <c r="AA284" t="s">
        <v>1229</v>
      </c>
      <c r="AB284">
        <v>50</v>
      </c>
      <c r="AC2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5" spans="1:29" x14ac:dyDescent="0.25">
      <c r="A285" t="s">
        <v>537</v>
      </c>
      <c r="B285" t="s">
        <v>505</v>
      </c>
      <c r="C285" t="s">
        <v>504</v>
      </c>
      <c r="D285" t="s">
        <v>501</v>
      </c>
      <c r="E285" t="s">
        <v>502</v>
      </c>
      <c r="F285" t="s">
        <v>569</v>
      </c>
      <c r="G285" t="s">
        <v>569</v>
      </c>
      <c r="H285" t="s">
        <v>569</v>
      </c>
      <c r="I285" t="s">
        <v>569</v>
      </c>
      <c r="J285" t="s">
        <v>569</v>
      </c>
      <c r="K285" t="s">
        <v>569</v>
      </c>
      <c r="L285" t="s">
        <v>569</v>
      </c>
      <c r="M285" t="s">
        <v>569</v>
      </c>
      <c r="N285" t="s">
        <v>569</v>
      </c>
      <c r="O285" t="s">
        <v>569</v>
      </c>
      <c r="P285" t="s">
        <v>569</v>
      </c>
      <c r="Q285" t="s">
        <v>569</v>
      </c>
      <c r="R285">
        <v>48.564436110000003</v>
      </c>
      <c r="S285" t="s">
        <v>1213</v>
      </c>
      <c r="T285">
        <v>-123.4391639</v>
      </c>
      <c r="U285" t="s">
        <v>1206</v>
      </c>
      <c r="V285" t="s">
        <v>569</v>
      </c>
      <c r="W285" t="s">
        <v>569</v>
      </c>
      <c r="X285" t="s">
        <v>569</v>
      </c>
      <c r="Y285" t="s">
        <v>569</v>
      </c>
      <c r="Z285" t="s">
        <v>569</v>
      </c>
      <c r="AA285" t="s">
        <v>1230</v>
      </c>
      <c r="AB285">
        <v>50</v>
      </c>
      <c r="AC2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6" spans="1:29" x14ac:dyDescent="0.25">
      <c r="A286" t="s">
        <v>1497</v>
      </c>
      <c r="B286" t="s">
        <v>536</v>
      </c>
      <c r="C286" t="s">
        <v>504</v>
      </c>
      <c r="D286" t="s">
        <v>501</v>
      </c>
      <c r="E286" t="s">
        <v>502</v>
      </c>
      <c r="F286" t="s">
        <v>569</v>
      </c>
      <c r="G286" t="s">
        <v>569</v>
      </c>
      <c r="H286" t="s">
        <v>569</v>
      </c>
      <c r="I286" t="s">
        <v>569</v>
      </c>
      <c r="J286" t="s">
        <v>569</v>
      </c>
      <c r="K286" t="s">
        <v>569</v>
      </c>
      <c r="L286" t="s">
        <v>569</v>
      </c>
      <c r="M286" t="s">
        <v>569</v>
      </c>
      <c r="N286" t="s">
        <v>569</v>
      </c>
      <c r="O286" t="s">
        <v>569</v>
      </c>
      <c r="P286" t="s">
        <v>569</v>
      </c>
      <c r="Q286" t="s">
        <v>569</v>
      </c>
      <c r="R286" t="s">
        <v>569</v>
      </c>
      <c r="S286" t="s">
        <v>569</v>
      </c>
      <c r="T286" t="s">
        <v>569</v>
      </c>
      <c r="U286" t="s">
        <v>569</v>
      </c>
      <c r="V286" t="s">
        <v>569</v>
      </c>
      <c r="W286" t="s">
        <v>569</v>
      </c>
      <c r="X286" t="s">
        <v>569</v>
      </c>
      <c r="Y286" t="s">
        <v>569</v>
      </c>
      <c r="Z286" t="s">
        <v>569</v>
      </c>
      <c r="AA286" t="s">
        <v>569</v>
      </c>
      <c r="AB286">
        <v>50</v>
      </c>
      <c r="AC28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7" spans="1:29" x14ac:dyDescent="0.25">
      <c r="A287" t="s">
        <v>999</v>
      </c>
      <c r="B287" t="s">
        <v>943</v>
      </c>
      <c r="C287" t="s">
        <v>707</v>
      </c>
      <c r="D287" t="s">
        <v>522</v>
      </c>
      <c r="E287" t="s">
        <v>523</v>
      </c>
      <c r="F287" t="s">
        <v>569</v>
      </c>
      <c r="G287" t="s">
        <v>569</v>
      </c>
      <c r="H287" t="s">
        <v>569</v>
      </c>
      <c r="I287" t="s">
        <v>569</v>
      </c>
      <c r="J287" t="s">
        <v>569</v>
      </c>
      <c r="K287" t="s">
        <v>569</v>
      </c>
      <c r="L287" t="s">
        <v>569</v>
      </c>
      <c r="M287" t="s">
        <v>569</v>
      </c>
      <c r="N287" t="s">
        <v>569</v>
      </c>
      <c r="O287" t="s">
        <v>569</v>
      </c>
      <c r="P287" t="s">
        <v>569</v>
      </c>
      <c r="Q287" t="s">
        <v>569</v>
      </c>
      <c r="R287">
        <v>-16.909843510000002</v>
      </c>
      <c r="S287" t="s">
        <v>1111</v>
      </c>
      <c r="T287">
        <v>145.76658280000001</v>
      </c>
      <c r="U287" t="s">
        <v>1201</v>
      </c>
      <c r="V287" t="s">
        <v>569</v>
      </c>
      <c r="W287" t="s">
        <v>569</v>
      </c>
      <c r="X287" t="s">
        <v>569</v>
      </c>
      <c r="Y287" t="s">
        <v>569</v>
      </c>
      <c r="Z287" t="s">
        <v>569</v>
      </c>
      <c r="AA287" t="s">
        <v>569</v>
      </c>
      <c r="AB287">
        <v>50</v>
      </c>
      <c r="AC2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8" spans="1:29" x14ac:dyDescent="0.25">
      <c r="A288" t="s">
        <v>847</v>
      </c>
      <c r="B288" t="s">
        <v>505</v>
      </c>
      <c r="C288" t="s">
        <v>504</v>
      </c>
      <c r="D288" t="s">
        <v>501</v>
      </c>
      <c r="E288" t="s">
        <v>502</v>
      </c>
      <c r="F288" t="s">
        <v>569</v>
      </c>
      <c r="G288" t="s">
        <v>569</v>
      </c>
      <c r="H288" t="s">
        <v>569</v>
      </c>
      <c r="I288" t="s">
        <v>569</v>
      </c>
      <c r="J288" t="s">
        <v>569</v>
      </c>
      <c r="K288" t="s">
        <v>569</v>
      </c>
      <c r="L288" t="s">
        <v>569</v>
      </c>
      <c r="M288" t="s">
        <v>569</v>
      </c>
      <c r="N288" t="s">
        <v>569</v>
      </c>
      <c r="O288" t="s">
        <v>569</v>
      </c>
      <c r="P288" t="s">
        <v>569</v>
      </c>
      <c r="Q288" t="s">
        <v>569</v>
      </c>
      <c r="R288">
        <v>48.469236109999997</v>
      </c>
      <c r="S288" t="s">
        <v>1213</v>
      </c>
      <c r="T288">
        <v>-123.40741389999999</v>
      </c>
      <c r="U288" t="s">
        <v>1206</v>
      </c>
      <c r="V288" t="s">
        <v>569</v>
      </c>
      <c r="W288" t="s">
        <v>569</v>
      </c>
      <c r="X288" t="s">
        <v>569</v>
      </c>
      <c r="Y288" t="s">
        <v>569</v>
      </c>
      <c r="Z288" t="s">
        <v>569</v>
      </c>
      <c r="AA288" t="s">
        <v>1230</v>
      </c>
      <c r="AB288">
        <v>50</v>
      </c>
      <c r="AC2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89" spans="1:29" x14ac:dyDescent="0.25">
      <c r="A289" t="s">
        <v>654</v>
      </c>
      <c r="B289" t="s">
        <v>651</v>
      </c>
      <c r="C289" t="s">
        <v>655</v>
      </c>
      <c r="D289" t="s">
        <v>652</v>
      </c>
      <c r="E289" t="s">
        <v>653</v>
      </c>
      <c r="F289" t="s">
        <v>569</v>
      </c>
      <c r="G289" t="s">
        <v>569</v>
      </c>
      <c r="H289" t="s">
        <v>569</v>
      </c>
      <c r="I289" t="s">
        <v>569</v>
      </c>
      <c r="J289" t="s">
        <v>569</v>
      </c>
      <c r="K289">
        <v>0</v>
      </c>
      <c r="L289" t="s">
        <v>569</v>
      </c>
      <c r="M289" t="s">
        <v>569</v>
      </c>
      <c r="N289" t="s">
        <v>569</v>
      </c>
      <c r="O289" t="s">
        <v>569</v>
      </c>
      <c r="P289" t="s">
        <v>569</v>
      </c>
      <c r="Q289" t="s">
        <v>569</v>
      </c>
      <c r="R289">
        <v>18.470817090000001</v>
      </c>
      <c r="S289" t="s">
        <v>1213</v>
      </c>
      <c r="T289">
        <v>-66.123919490000006</v>
      </c>
      <c r="U289" t="s">
        <v>1206</v>
      </c>
      <c r="V289" t="s">
        <v>569</v>
      </c>
      <c r="W289" t="s">
        <v>569</v>
      </c>
      <c r="X289" t="s">
        <v>569</v>
      </c>
      <c r="Y289" t="s">
        <v>569</v>
      </c>
      <c r="Z289" t="s">
        <v>569</v>
      </c>
      <c r="AA289" t="s">
        <v>1229</v>
      </c>
      <c r="AB289">
        <v>50</v>
      </c>
      <c r="AC28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0" spans="1:29" x14ac:dyDescent="0.25">
      <c r="A290" t="s">
        <v>661</v>
      </c>
      <c r="B290" t="s">
        <v>651</v>
      </c>
      <c r="C290" t="s">
        <v>655</v>
      </c>
      <c r="D290" t="s">
        <v>652</v>
      </c>
      <c r="E290" t="s">
        <v>653</v>
      </c>
      <c r="F290" t="s">
        <v>569</v>
      </c>
      <c r="G290" t="s">
        <v>569</v>
      </c>
      <c r="H290" t="s">
        <v>569</v>
      </c>
      <c r="I290" t="s">
        <v>569</v>
      </c>
      <c r="J290" t="s">
        <v>569</v>
      </c>
      <c r="K290">
        <v>0</v>
      </c>
      <c r="L290" t="s">
        <v>569</v>
      </c>
      <c r="M290" t="s">
        <v>569</v>
      </c>
      <c r="N290" t="s">
        <v>569</v>
      </c>
      <c r="O290" t="s">
        <v>569</v>
      </c>
      <c r="P290" t="s">
        <v>569</v>
      </c>
      <c r="Q290" t="s">
        <v>569</v>
      </c>
      <c r="R290">
        <v>18.465767589999999</v>
      </c>
      <c r="S290" t="s">
        <v>1213</v>
      </c>
      <c r="T290">
        <v>-66.090019100000006</v>
      </c>
      <c r="U290" t="s">
        <v>1206</v>
      </c>
      <c r="V290" t="s">
        <v>569</v>
      </c>
      <c r="W290" t="s">
        <v>569</v>
      </c>
      <c r="X290" t="s">
        <v>569</v>
      </c>
      <c r="Y290" t="s">
        <v>569</v>
      </c>
      <c r="Z290" t="s">
        <v>569</v>
      </c>
      <c r="AA290" t="s">
        <v>1229</v>
      </c>
      <c r="AB290">
        <v>50</v>
      </c>
      <c r="AC2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1" spans="1:29" x14ac:dyDescent="0.25">
      <c r="A291" t="s">
        <v>667</v>
      </c>
      <c r="B291" t="s">
        <v>505</v>
      </c>
      <c r="C291" t="s">
        <v>504</v>
      </c>
      <c r="D291" t="s">
        <v>501</v>
      </c>
      <c r="E291" t="s">
        <v>502</v>
      </c>
      <c r="F291" t="s">
        <v>569</v>
      </c>
      <c r="G291" t="s">
        <v>569</v>
      </c>
      <c r="H291" t="s">
        <v>569</v>
      </c>
      <c r="I291" t="s">
        <v>569</v>
      </c>
      <c r="J291" t="s">
        <v>569</v>
      </c>
      <c r="K291">
        <v>0</v>
      </c>
      <c r="L291" t="s">
        <v>569</v>
      </c>
      <c r="M291" t="s">
        <v>569</v>
      </c>
      <c r="N291" t="s">
        <v>569</v>
      </c>
      <c r="O291" t="s">
        <v>569</v>
      </c>
      <c r="P291" t="s">
        <v>569</v>
      </c>
      <c r="Q291" t="s">
        <v>569</v>
      </c>
      <c r="R291">
        <v>48.448119509999998</v>
      </c>
      <c r="S291" t="s">
        <v>1213</v>
      </c>
      <c r="T291">
        <v>-123.3221769</v>
      </c>
      <c r="U291" t="s">
        <v>1206</v>
      </c>
      <c r="V291" t="s">
        <v>569</v>
      </c>
      <c r="W291" t="s">
        <v>569</v>
      </c>
      <c r="X291" t="s">
        <v>569</v>
      </c>
      <c r="Y291" t="s">
        <v>569</v>
      </c>
      <c r="Z291" t="s">
        <v>569</v>
      </c>
      <c r="AA291" t="s">
        <v>1229</v>
      </c>
      <c r="AB291">
        <v>50</v>
      </c>
      <c r="AC2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2" spans="1:29" x14ac:dyDescent="0.25">
      <c r="A292" t="s">
        <v>633</v>
      </c>
      <c r="B292" t="s">
        <v>631</v>
      </c>
      <c r="C292" t="s">
        <v>504</v>
      </c>
      <c r="D292" t="s">
        <v>501</v>
      </c>
      <c r="E292" t="s">
        <v>502</v>
      </c>
      <c r="F292" t="s">
        <v>569</v>
      </c>
      <c r="G292" t="s">
        <v>569</v>
      </c>
      <c r="H292" t="s">
        <v>569</v>
      </c>
      <c r="I292" t="s">
        <v>569</v>
      </c>
      <c r="J292" t="s">
        <v>569</v>
      </c>
      <c r="K292">
        <v>0</v>
      </c>
      <c r="L292" t="s">
        <v>569</v>
      </c>
      <c r="M292" t="s">
        <v>569</v>
      </c>
      <c r="N292" t="s">
        <v>569</v>
      </c>
      <c r="O292" t="s">
        <v>569</v>
      </c>
      <c r="P292" t="s">
        <v>569</v>
      </c>
      <c r="Q292" t="s">
        <v>569</v>
      </c>
      <c r="R292">
        <v>50.015295620000003</v>
      </c>
      <c r="S292" t="s">
        <v>1213</v>
      </c>
      <c r="T292">
        <v>-125.2361691</v>
      </c>
      <c r="U292" t="s">
        <v>1206</v>
      </c>
      <c r="V292" t="s">
        <v>569</v>
      </c>
      <c r="W292" t="s">
        <v>569</v>
      </c>
      <c r="X292" t="s">
        <v>569</v>
      </c>
      <c r="Y292" t="s">
        <v>569</v>
      </c>
      <c r="Z292" t="s">
        <v>569</v>
      </c>
      <c r="AA292" t="s">
        <v>1229</v>
      </c>
      <c r="AB292">
        <v>50</v>
      </c>
      <c r="AC29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3" spans="1:29" x14ac:dyDescent="0.25">
      <c r="A293" t="s">
        <v>1494</v>
      </c>
      <c r="B293" t="s">
        <v>835</v>
      </c>
      <c r="C293" t="s">
        <v>504</v>
      </c>
      <c r="D293" t="s">
        <v>501</v>
      </c>
      <c r="E293" t="s">
        <v>502</v>
      </c>
      <c r="F293" t="s">
        <v>569</v>
      </c>
      <c r="G293" t="s">
        <v>569</v>
      </c>
      <c r="H293" t="s">
        <v>569</v>
      </c>
      <c r="I293" t="s">
        <v>569</v>
      </c>
      <c r="J293" t="s">
        <v>569</v>
      </c>
      <c r="K293" t="s">
        <v>569</v>
      </c>
      <c r="L293" t="s">
        <v>569</v>
      </c>
      <c r="M293" t="s">
        <v>569</v>
      </c>
      <c r="N293" t="s">
        <v>569</v>
      </c>
      <c r="O293" t="s">
        <v>569</v>
      </c>
      <c r="P293" t="s">
        <v>569</v>
      </c>
      <c r="Q293" t="s">
        <v>569</v>
      </c>
      <c r="R293" t="s">
        <v>569</v>
      </c>
      <c r="S293" t="s">
        <v>569</v>
      </c>
      <c r="T293" t="s">
        <v>569</v>
      </c>
      <c r="U293" t="s">
        <v>569</v>
      </c>
      <c r="V293" t="s">
        <v>569</v>
      </c>
      <c r="W293" t="s">
        <v>569</v>
      </c>
      <c r="X293" t="s">
        <v>569</v>
      </c>
      <c r="Y293" t="s">
        <v>569</v>
      </c>
      <c r="Z293" t="s">
        <v>569</v>
      </c>
      <c r="AA293" t="s">
        <v>569</v>
      </c>
      <c r="AB293">
        <v>50</v>
      </c>
      <c r="AC29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4" spans="1:29" x14ac:dyDescent="0.25">
      <c r="A294" t="s">
        <v>1428</v>
      </c>
      <c r="B294" t="s">
        <v>1429</v>
      </c>
      <c r="C294" t="s">
        <v>1012</v>
      </c>
      <c r="D294" t="s">
        <v>501</v>
      </c>
      <c r="E294" t="s">
        <v>502</v>
      </c>
      <c r="F294" t="s">
        <v>569</v>
      </c>
      <c r="G294" t="s">
        <v>569</v>
      </c>
      <c r="H294" t="s">
        <v>569</v>
      </c>
      <c r="I294" t="s">
        <v>569</v>
      </c>
      <c r="J294" t="s">
        <v>569</v>
      </c>
      <c r="K294" t="s">
        <v>569</v>
      </c>
      <c r="L294" t="s">
        <v>569</v>
      </c>
      <c r="M294" t="s">
        <v>569</v>
      </c>
      <c r="N294" t="s">
        <v>569</v>
      </c>
      <c r="O294" t="s">
        <v>569</v>
      </c>
      <c r="P294" t="s">
        <v>569</v>
      </c>
      <c r="Q294" t="s">
        <v>569</v>
      </c>
      <c r="R294" t="s">
        <v>569</v>
      </c>
      <c r="S294" t="s">
        <v>569</v>
      </c>
      <c r="T294" t="s">
        <v>569</v>
      </c>
      <c r="U294" t="s">
        <v>569</v>
      </c>
      <c r="V294" t="s">
        <v>569</v>
      </c>
      <c r="W294" t="s">
        <v>569</v>
      </c>
      <c r="X294" t="s">
        <v>569</v>
      </c>
      <c r="Y294" t="s">
        <v>569</v>
      </c>
      <c r="Z294" t="s">
        <v>569</v>
      </c>
      <c r="AA294" t="s">
        <v>569</v>
      </c>
      <c r="AB294">
        <v>50</v>
      </c>
      <c r="AC29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5" spans="1:29" x14ac:dyDescent="0.25">
      <c r="A295" t="s">
        <v>1401</v>
      </c>
      <c r="B295" t="s">
        <v>513</v>
      </c>
      <c r="C295" t="s">
        <v>504</v>
      </c>
      <c r="D295" t="s">
        <v>501</v>
      </c>
      <c r="E295" t="s">
        <v>502</v>
      </c>
      <c r="F295" t="s">
        <v>569</v>
      </c>
      <c r="G295" t="s">
        <v>569</v>
      </c>
      <c r="H295" t="s">
        <v>569</v>
      </c>
      <c r="I295" t="s">
        <v>569</v>
      </c>
      <c r="J295" t="s">
        <v>569</v>
      </c>
      <c r="K295" t="s">
        <v>569</v>
      </c>
      <c r="L295" t="s">
        <v>569</v>
      </c>
      <c r="M295" t="s">
        <v>569</v>
      </c>
      <c r="N295" t="s">
        <v>569</v>
      </c>
      <c r="O295" t="s">
        <v>569</v>
      </c>
      <c r="P295" t="s">
        <v>569</v>
      </c>
      <c r="Q295" t="s">
        <v>569</v>
      </c>
      <c r="R295" t="s">
        <v>569</v>
      </c>
      <c r="S295" t="s">
        <v>569</v>
      </c>
      <c r="T295" t="s">
        <v>569</v>
      </c>
      <c r="U295" t="s">
        <v>569</v>
      </c>
      <c r="V295" t="s">
        <v>569</v>
      </c>
      <c r="W295" t="s">
        <v>569</v>
      </c>
      <c r="X295" t="s">
        <v>569</v>
      </c>
      <c r="Y295" t="s">
        <v>569</v>
      </c>
      <c r="Z295" t="s">
        <v>569</v>
      </c>
      <c r="AA295" t="s">
        <v>569</v>
      </c>
      <c r="AB295">
        <v>50</v>
      </c>
      <c r="AC29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6" spans="1:29" x14ac:dyDescent="0.25">
      <c r="A296" t="s">
        <v>660</v>
      </c>
      <c r="B296" t="s">
        <v>651</v>
      </c>
      <c r="C296" t="s">
        <v>655</v>
      </c>
      <c r="D296" t="s">
        <v>652</v>
      </c>
      <c r="E296" t="s">
        <v>653</v>
      </c>
      <c r="F296" t="s">
        <v>569</v>
      </c>
      <c r="G296" t="s">
        <v>569</v>
      </c>
      <c r="H296" t="s">
        <v>569</v>
      </c>
      <c r="I296" t="s">
        <v>569</v>
      </c>
      <c r="J296" t="s">
        <v>569</v>
      </c>
      <c r="K296">
        <v>0</v>
      </c>
      <c r="L296" t="s">
        <v>569</v>
      </c>
      <c r="M296" t="s">
        <v>569</v>
      </c>
      <c r="N296" t="s">
        <v>569</v>
      </c>
      <c r="O296" t="s">
        <v>569</v>
      </c>
      <c r="P296" t="s">
        <v>569</v>
      </c>
      <c r="Q296" t="s">
        <v>569</v>
      </c>
      <c r="R296">
        <v>18.465767589999999</v>
      </c>
      <c r="S296" t="s">
        <v>1213</v>
      </c>
      <c r="T296">
        <v>-66.090019100000006</v>
      </c>
      <c r="U296" t="s">
        <v>1206</v>
      </c>
      <c r="V296" t="s">
        <v>569</v>
      </c>
      <c r="W296" t="s">
        <v>569</v>
      </c>
      <c r="X296" t="s">
        <v>569</v>
      </c>
      <c r="Y296" t="s">
        <v>569</v>
      </c>
      <c r="Z296" t="s">
        <v>569</v>
      </c>
      <c r="AA296" t="s">
        <v>1229</v>
      </c>
      <c r="AB296">
        <v>50</v>
      </c>
      <c r="AC2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7" spans="1:29" x14ac:dyDescent="0.25">
      <c r="A297" t="s">
        <v>656</v>
      </c>
      <c r="B297" t="s">
        <v>651</v>
      </c>
      <c r="C297" t="s">
        <v>655</v>
      </c>
      <c r="D297" t="s">
        <v>652</v>
      </c>
      <c r="E297" t="s">
        <v>653</v>
      </c>
      <c r="F297" t="s">
        <v>569</v>
      </c>
      <c r="G297" t="s">
        <v>569</v>
      </c>
      <c r="H297" t="s">
        <v>569</v>
      </c>
      <c r="I297" t="s">
        <v>569</v>
      </c>
      <c r="J297" t="s">
        <v>569</v>
      </c>
      <c r="K297">
        <v>0</v>
      </c>
      <c r="L297" t="s">
        <v>569</v>
      </c>
      <c r="M297" t="s">
        <v>569</v>
      </c>
      <c r="N297" t="s">
        <v>569</v>
      </c>
      <c r="O297" t="s">
        <v>569</v>
      </c>
      <c r="P297" t="s">
        <v>569</v>
      </c>
      <c r="Q297" t="s">
        <v>569</v>
      </c>
      <c r="R297">
        <v>18.470817090000001</v>
      </c>
      <c r="S297" t="s">
        <v>1213</v>
      </c>
      <c r="T297">
        <v>-66.123919490000006</v>
      </c>
      <c r="U297" t="s">
        <v>1206</v>
      </c>
      <c r="V297" t="s">
        <v>569</v>
      </c>
      <c r="W297" t="s">
        <v>569</v>
      </c>
      <c r="X297" t="s">
        <v>569</v>
      </c>
      <c r="Y297" t="s">
        <v>569</v>
      </c>
      <c r="Z297" t="s">
        <v>569</v>
      </c>
      <c r="AA297" t="s">
        <v>1229</v>
      </c>
      <c r="AB297">
        <v>50</v>
      </c>
      <c r="AC29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8" spans="1:29" x14ac:dyDescent="0.25">
      <c r="A298" t="s">
        <v>583</v>
      </c>
      <c r="B298" t="s">
        <v>582</v>
      </c>
      <c r="C298" t="s">
        <v>504</v>
      </c>
      <c r="D298" t="s">
        <v>501</v>
      </c>
      <c r="E298" t="s">
        <v>502</v>
      </c>
      <c r="F298" t="s">
        <v>569</v>
      </c>
      <c r="G298" t="s">
        <v>569</v>
      </c>
      <c r="H298" t="s">
        <v>569</v>
      </c>
      <c r="I298" t="s">
        <v>569</v>
      </c>
      <c r="J298" t="s">
        <v>569</v>
      </c>
      <c r="K298">
        <v>0</v>
      </c>
      <c r="L298" t="s">
        <v>569</v>
      </c>
      <c r="M298" t="s">
        <v>569</v>
      </c>
      <c r="N298" t="s">
        <v>569</v>
      </c>
      <c r="O298" t="s">
        <v>569</v>
      </c>
      <c r="P298" t="s">
        <v>569</v>
      </c>
      <c r="Q298" t="s">
        <v>569</v>
      </c>
      <c r="R298">
        <v>48.567431630000002</v>
      </c>
      <c r="S298" t="s">
        <v>1213</v>
      </c>
      <c r="T298">
        <v>-123.5468602</v>
      </c>
      <c r="U298" t="s">
        <v>1206</v>
      </c>
      <c r="V298" t="s">
        <v>569</v>
      </c>
      <c r="W298" t="s">
        <v>569</v>
      </c>
      <c r="X298" t="s">
        <v>569</v>
      </c>
      <c r="Y298" t="s">
        <v>569</v>
      </c>
      <c r="Z298" t="s">
        <v>569</v>
      </c>
      <c r="AA298" t="s">
        <v>1229</v>
      </c>
      <c r="AB298">
        <v>50</v>
      </c>
      <c r="AC2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299" spans="1:29" x14ac:dyDescent="0.25">
      <c r="A299" t="s">
        <v>935</v>
      </c>
      <c r="B299" t="s">
        <v>505</v>
      </c>
      <c r="C299" t="s">
        <v>504</v>
      </c>
      <c r="D299" t="s">
        <v>501</v>
      </c>
      <c r="E299" t="s">
        <v>502</v>
      </c>
      <c r="F299" t="s">
        <v>569</v>
      </c>
      <c r="G299" t="s">
        <v>569</v>
      </c>
      <c r="H299" t="s">
        <v>569</v>
      </c>
      <c r="I299" t="s">
        <v>569</v>
      </c>
      <c r="J299" t="s">
        <v>569</v>
      </c>
      <c r="K299" t="s">
        <v>569</v>
      </c>
      <c r="L299" t="s">
        <v>569</v>
      </c>
      <c r="M299" t="s">
        <v>569</v>
      </c>
      <c r="N299" t="s">
        <v>569</v>
      </c>
      <c r="O299" t="s">
        <v>569</v>
      </c>
      <c r="P299" t="s">
        <v>569</v>
      </c>
      <c r="Q299" t="s">
        <v>569</v>
      </c>
      <c r="R299">
        <v>48.438225690000003</v>
      </c>
      <c r="S299" t="s">
        <v>1213</v>
      </c>
      <c r="T299">
        <v>-123.29473900000001</v>
      </c>
      <c r="U299" t="s">
        <v>1206</v>
      </c>
      <c r="V299" t="s">
        <v>569</v>
      </c>
      <c r="W299" t="s">
        <v>569</v>
      </c>
      <c r="X299" t="s">
        <v>569</v>
      </c>
      <c r="Y299" t="s">
        <v>569</v>
      </c>
      <c r="Z299" t="s">
        <v>569</v>
      </c>
      <c r="AA299" t="s">
        <v>569</v>
      </c>
      <c r="AB299">
        <v>50</v>
      </c>
      <c r="AC2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0" spans="1:29" x14ac:dyDescent="0.25">
      <c r="A300" t="s">
        <v>882</v>
      </c>
      <c r="B300" t="s">
        <v>505</v>
      </c>
      <c r="C300" t="s">
        <v>504</v>
      </c>
      <c r="D300" t="s">
        <v>501</v>
      </c>
      <c r="E300" t="s">
        <v>502</v>
      </c>
      <c r="F300" t="s">
        <v>569</v>
      </c>
      <c r="G300" t="s">
        <v>569</v>
      </c>
      <c r="H300" t="s">
        <v>569</v>
      </c>
      <c r="I300" t="s">
        <v>569</v>
      </c>
      <c r="J300" t="s">
        <v>569</v>
      </c>
      <c r="K300">
        <v>0</v>
      </c>
      <c r="L300" t="s">
        <v>569</v>
      </c>
      <c r="M300" t="s">
        <v>569</v>
      </c>
      <c r="N300" t="s">
        <v>569</v>
      </c>
      <c r="O300" t="s">
        <v>569</v>
      </c>
      <c r="P300" t="s">
        <v>569</v>
      </c>
      <c r="Q300" t="s">
        <v>569</v>
      </c>
      <c r="R300">
        <v>48.464881239999997</v>
      </c>
      <c r="S300" t="s">
        <v>1213</v>
      </c>
      <c r="T300">
        <v>-123.42091979999999</v>
      </c>
      <c r="U300" t="s">
        <v>1206</v>
      </c>
      <c r="V300" t="s">
        <v>569</v>
      </c>
      <c r="W300" t="s">
        <v>569</v>
      </c>
      <c r="X300" t="s">
        <v>569</v>
      </c>
      <c r="Y300" t="s">
        <v>569</v>
      </c>
      <c r="Z300" t="s">
        <v>569</v>
      </c>
      <c r="AA300" t="s">
        <v>1229</v>
      </c>
      <c r="AB300">
        <v>50</v>
      </c>
      <c r="AC30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1" spans="1:29" x14ac:dyDescent="0.25">
      <c r="A301" t="s">
        <v>871</v>
      </c>
      <c r="B301" t="s">
        <v>505</v>
      </c>
      <c r="C301" t="s">
        <v>504</v>
      </c>
      <c r="D301" t="s">
        <v>501</v>
      </c>
      <c r="E301" t="s">
        <v>502</v>
      </c>
      <c r="F301" t="s">
        <v>569</v>
      </c>
      <c r="G301" t="s">
        <v>569</v>
      </c>
      <c r="H301" t="s">
        <v>569</v>
      </c>
      <c r="I301" t="s">
        <v>569</v>
      </c>
      <c r="J301" t="s">
        <v>569</v>
      </c>
      <c r="K301">
        <v>0</v>
      </c>
      <c r="L301" t="s">
        <v>569</v>
      </c>
      <c r="M301" t="s">
        <v>569</v>
      </c>
      <c r="N301" t="s">
        <v>569</v>
      </c>
      <c r="O301" t="s">
        <v>569</v>
      </c>
      <c r="P301" t="s">
        <v>569</v>
      </c>
      <c r="Q301" t="s">
        <v>569</v>
      </c>
      <c r="R301">
        <v>48.479671000000003</v>
      </c>
      <c r="S301" t="s">
        <v>1213</v>
      </c>
      <c r="T301">
        <v>-123.4113765</v>
      </c>
      <c r="U301" t="s">
        <v>1206</v>
      </c>
      <c r="V301" t="s">
        <v>569</v>
      </c>
      <c r="W301" t="s">
        <v>569</v>
      </c>
      <c r="X301" t="s">
        <v>569</v>
      </c>
      <c r="Y301" t="s">
        <v>569</v>
      </c>
      <c r="Z301" t="s">
        <v>569</v>
      </c>
      <c r="AA301" t="s">
        <v>1229</v>
      </c>
      <c r="AB301">
        <v>50</v>
      </c>
      <c r="AC30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2" spans="1:29" x14ac:dyDescent="0.25">
      <c r="A302" t="s">
        <v>923</v>
      </c>
      <c r="B302" t="s">
        <v>835</v>
      </c>
      <c r="C302" t="s">
        <v>504</v>
      </c>
      <c r="D302" t="s">
        <v>501</v>
      </c>
      <c r="E302" t="s">
        <v>502</v>
      </c>
      <c r="F302" t="s">
        <v>569</v>
      </c>
      <c r="G302" t="s">
        <v>569</v>
      </c>
      <c r="H302" t="s">
        <v>569</v>
      </c>
      <c r="I302" t="s">
        <v>569</v>
      </c>
      <c r="J302" t="s">
        <v>569</v>
      </c>
      <c r="K302">
        <v>0</v>
      </c>
      <c r="L302" t="s">
        <v>569</v>
      </c>
      <c r="M302" t="s">
        <v>569</v>
      </c>
      <c r="N302" t="s">
        <v>569</v>
      </c>
      <c r="O302" t="s">
        <v>569</v>
      </c>
      <c r="P302" t="s">
        <v>569</v>
      </c>
      <c r="Q302" t="s">
        <v>569</v>
      </c>
      <c r="R302">
        <v>49.168750369999998</v>
      </c>
      <c r="S302" t="s">
        <v>1213</v>
      </c>
      <c r="T302">
        <v>-121.9662586</v>
      </c>
      <c r="U302" t="s">
        <v>1206</v>
      </c>
      <c r="V302" t="s">
        <v>569</v>
      </c>
      <c r="W302" t="s">
        <v>569</v>
      </c>
      <c r="X302" t="s">
        <v>569</v>
      </c>
      <c r="Y302" t="s">
        <v>569</v>
      </c>
      <c r="Z302" t="s">
        <v>569</v>
      </c>
      <c r="AA302" t="s">
        <v>1229</v>
      </c>
      <c r="AB302">
        <v>50</v>
      </c>
      <c r="AC3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3" spans="1:29" x14ac:dyDescent="0.25">
      <c r="A303" t="s">
        <v>666</v>
      </c>
      <c r="B303" t="s">
        <v>505</v>
      </c>
      <c r="C303" t="s">
        <v>504</v>
      </c>
      <c r="D303" t="s">
        <v>501</v>
      </c>
      <c r="E303" t="s">
        <v>502</v>
      </c>
      <c r="F303" t="s">
        <v>569</v>
      </c>
      <c r="G303" t="s">
        <v>569</v>
      </c>
      <c r="H303" t="s">
        <v>569</v>
      </c>
      <c r="I303" t="s">
        <v>569</v>
      </c>
      <c r="J303" t="s">
        <v>569</v>
      </c>
      <c r="K303">
        <v>0</v>
      </c>
      <c r="L303" t="s">
        <v>569</v>
      </c>
      <c r="M303" t="s">
        <v>569</v>
      </c>
      <c r="N303" t="s">
        <v>569</v>
      </c>
      <c r="O303" t="s">
        <v>569</v>
      </c>
      <c r="P303" t="s">
        <v>569</v>
      </c>
      <c r="Q303" t="s">
        <v>569</v>
      </c>
      <c r="R303">
        <v>48.429307340000001</v>
      </c>
      <c r="S303" t="s">
        <v>1213</v>
      </c>
      <c r="T303">
        <v>-123.3684075</v>
      </c>
      <c r="U303" t="s">
        <v>1206</v>
      </c>
      <c r="V303" t="s">
        <v>569</v>
      </c>
      <c r="W303" t="s">
        <v>569</v>
      </c>
      <c r="X303" t="s">
        <v>569</v>
      </c>
      <c r="Y303" t="s">
        <v>569</v>
      </c>
      <c r="Z303" t="s">
        <v>569</v>
      </c>
      <c r="AA303" t="s">
        <v>1229</v>
      </c>
      <c r="AB303">
        <v>50</v>
      </c>
      <c r="AC3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4" spans="1:29" x14ac:dyDescent="0.25">
      <c r="A304" t="s">
        <v>767</v>
      </c>
      <c r="B304" t="s">
        <v>764</v>
      </c>
      <c r="C304" t="s">
        <v>764</v>
      </c>
      <c r="D304" t="s">
        <v>756</v>
      </c>
      <c r="E304" t="s">
        <v>757</v>
      </c>
      <c r="F304" t="s">
        <v>569</v>
      </c>
      <c r="G304" t="s">
        <v>569</v>
      </c>
      <c r="H304" t="s">
        <v>569</v>
      </c>
      <c r="I304" t="s">
        <v>569</v>
      </c>
      <c r="J304" t="s">
        <v>569</v>
      </c>
      <c r="K304" t="s">
        <v>569</v>
      </c>
      <c r="L304" t="s">
        <v>569</v>
      </c>
      <c r="M304" t="s">
        <v>569</v>
      </c>
      <c r="N304" t="s">
        <v>569</v>
      </c>
      <c r="O304" t="s">
        <v>569</v>
      </c>
      <c r="P304" t="s">
        <v>569</v>
      </c>
      <c r="Q304" t="s">
        <v>569</v>
      </c>
      <c r="R304">
        <v>11.48465</v>
      </c>
      <c r="S304" t="s">
        <v>1213</v>
      </c>
      <c r="T304">
        <v>104.90218059999999</v>
      </c>
      <c r="U304" t="s">
        <v>1201</v>
      </c>
      <c r="V304" t="s">
        <v>569</v>
      </c>
      <c r="W304" t="s">
        <v>569</v>
      </c>
      <c r="X304" t="s">
        <v>569</v>
      </c>
      <c r="Y304" t="s">
        <v>569</v>
      </c>
      <c r="Z304" t="s">
        <v>569</v>
      </c>
      <c r="AA304" t="s">
        <v>1230</v>
      </c>
      <c r="AB304">
        <v>50</v>
      </c>
      <c r="AC30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5" spans="1:29" x14ac:dyDescent="0.25">
      <c r="A305" t="s">
        <v>628</v>
      </c>
      <c r="B305" t="s">
        <v>505</v>
      </c>
      <c r="C305" t="s">
        <v>504</v>
      </c>
      <c r="D305" t="s">
        <v>501</v>
      </c>
      <c r="E305" t="s">
        <v>502</v>
      </c>
      <c r="F305" t="s">
        <v>569</v>
      </c>
      <c r="G305" t="s">
        <v>569</v>
      </c>
      <c r="H305" t="s">
        <v>569</v>
      </c>
      <c r="I305" t="s">
        <v>569</v>
      </c>
      <c r="J305" t="s">
        <v>569</v>
      </c>
      <c r="K305">
        <v>0</v>
      </c>
      <c r="L305" t="s">
        <v>569</v>
      </c>
      <c r="M305" t="s">
        <v>569</v>
      </c>
      <c r="N305" t="s">
        <v>569</v>
      </c>
      <c r="O305" t="s">
        <v>569</v>
      </c>
      <c r="P305" t="s">
        <v>569</v>
      </c>
      <c r="Q305" t="s">
        <v>569</v>
      </c>
      <c r="R305">
        <v>48.473604109999997</v>
      </c>
      <c r="S305" t="s">
        <v>1213</v>
      </c>
      <c r="T305">
        <v>-123.3770657</v>
      </c>
      <c r="U305" t="s">
        <v>1206</v>
      </c>
      <c r="V305" t="s">
        <v>569</v>
      </c>
      <c r="W305" t="s">
        <v>569</v>
      </c>
      <c r="X305" t="s">
        <v>569</v>
      </c>
      <c r="Y305" t="s">
        <v>569</v>
      </c>
      <c r="Z305" t="s">
        <v>569</v>
      </c>
      <c r="AA305" t="s">
        <v>1229</v>
      </c>
      <c r="AB305">
        <v>50</v>
      </c>
      <c r="AC30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6" spans="1:29" x14ac:dyDescent="0.25">
      <c r="A306" t="s">
        <v>1499</v>
      </c>
      <c r="B306" t="s">
        <v>557</v>
      </c>
      <c r="C306" t="s">
        <v>504</v>
      </c>
      <c r="D306" t="s">
        <v>501</v>
      </c>
      <c r="E306" t="s">
        <v>502</v>
      </c>
      <c r="F306" t="s">
        <v>569</v>
      </c>
      <c r="G306" t="s">
        <v>569</v>
      </c>
      <c r="H306" t="s">
        <v>569</v>
      </c>
      <c r="I306" t="s">
        <v>569</v>
      </c>
      <c r="J306" t="s">
        <v>569</v>
      </c>
      <c r="K306" t="s">
        <v>569</v>
      </c>
      <c r="L306" t="s">
        <v>569</v>
      </c>
      <c r="M306" t="s">
        <v>569</v>
      </c>
      <c r="N306" t="s">
        <v>569</v>
      </c>
      <c r="O306" t="s">
        <v>569</v>
      </c>
      <c r="P306" t="s">
        <v>569</v>
      </c>
      <c r="Q306" t="s">
        <v>569</v>
      </c>
      <c r="R306" t="s">
        <v>569</v>
      </c>
      <c r="S306" t="s">
        <v>569</v>
      </c>
      <c r="T306" t="s">
        <v>569</v>
      </c>
      <c r="U306" t="s">
        <v>569</v>
      </c>
      <c r="V306" t="s">
        <v>569</v>
      </c>
      <c r="W306" t="s">
        <v>569</v>
      </c>
      <c r="X306" t="s">
        <v>569</v>
      </c>
      <c r="Y306" t="s">
        <v>569</v>
      </c>
      <c r="Z306" t="s">
        <v>569</v>
      </c>
      <c r="AA306" t="s">
        <v>569</v>
      </c>
      <c r="AB306">
        <v>50</v>
      </c>
      <c r="AC30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7" spans="1:29" x14ac:dyDescent="0.25">
      <c r="A307" t="s">
        <v>800</v>
      </c>
      <c r="B307" t="s">
        <v>794</v>
      </c>
      <c r="C307" t="s">
        <v>794</v>
      </c>
      <c r="D307" t="s">
        <v>795</v>
      </c>
      <c r="E307" t="s">
        <v>796</v>
      </c>
      <c r="F307" t="s">
        <v>569</v>
      </c>
      <c r="G307" t="s">
        <v>569</v>
      </c>
      <c r="H307" t="s">
        <v>569</v>
      </c>
      <c r="I307" t="s">
        <v>569</v>
      </c>
      <c r="J307" t="s">
        <v>569</v>
      </c>
      <c r="K307">
        <v>0</v>
      </c>
      <c r="L307" t="s">
        <v>569</v>
      </c>
      <c r="M307" t="s">
        <v>569</v>
      </c>
      <c r="N307" t="s">
        <v>569</v>
      </c>
      <c r="O307" t="s">
        <v>569</v>
      </c>
      <c r="P307" t="s">
        <v>569</v>
      </c>
      <c r="Q307" t="s">
        <v>569</v>
      </c>
      <c r="R307">
        <v>10.77755675</v>
      </c>
      <c r="S307" t="s">
        <v>1213</v>
      </c>
      <c r="T307">
        <v>106.70277539999999</v>
      </c>
      <c r="U307" t="s">
        <v>1201</v>
      </c>
      <c r="V307" t="s">
        <v>569</v>
      </c>
      <c r="W307" t="s">
        <v>569</v>
      </c>
      <c r="X307" t="s">
        <v>569</v>
      </c>
      <c r="Y307" t="s">
        <v>569</v>
      </c>
      <c r="Z307" t="s">
        <v>569</v>
      </c>
      <c r="AA307" t="s">
        <v>1229</v>
      </c>
      <c r="AB307">
        <v>50</v>
      </c>
      <c r="AC30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8" spans="1:29" x14ac:dyDescent="0.25">
      <c r="A308" t="s">
        <v>851</v>
      </c>
      <c r="B308" t="s">
        <v>505</v>
      </c>
      <c r="C308" t="s">
        <v>504</v>
      </c>
      <c r="D308" t="s">
        <v>501</v>
      </c>
      <c r="E308" t="s">
        <v>502</v>
      </c>
      <c r="F308" t="s">
        <v>569</v>
      </c>
      <c r="G308" t="s">
        <v>569</v>
      </c>
      <c r="H308" t="s">
        <v>569</v>
      </c>
      <c r="I308" t="s">
        <v>569</v>
      </c>
      <c r="J308" t="s">
        <v>569</v>
      </c>
      <c r="K308">
        <v>0</v>
      </c>
      <c r="L308" t="s">
        <v>569</v>
      </c>
      <c r="M308" t="s">
        <v>569</v>
      </c>
      <c r="N308" t="s">
        <v>569</v>
      </c>
      <c r="O308" t="s">
        <v>569</v>
      </c>
      <c r="P308" t="s">
        <v>569</v>
      </c>
      <c r="Q308" t="s">
        <v>569</v>
      </c>
      <c r="R308">
        <v>48.403935830000002</v>
      </c>
      <c r="S308" t="s">
        <v>1213</v>
      </c>
      <c r="T308">
        <v>-123.3495569</v>
      </c>
      <c r="U308" t="s">
        <v>1206</v>
      </c>
      <c r="V308" t="s">
        <v>569</v>
      </c>
      <c r="W308" t="s">
        <v>569</v>
      </c>
      <c r="X308" t="s">
        <v>569</v>
      </c>
      <c r="Y308" t="s">
        <v>569</v>
      </c>
      <c r="Z308" t="s">
        <v>569</v>
      </c>
      <c r="AA308" t="s">
        <v>1229</v>
      </c>
      <c r="AB308">
        <v>50</v>
      </c>
      <c r="AC30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09" spans="1:29" x14ac:dyDescent="0.25">
      <c r="A309" t="s">
        <v>930</v>
      </c>
      <c r="B309" t="s">
        <v>513</v>
      </c>
      <c r="C309" t="s">
        <v>504</v>
      </c>
      <c r="D309" t="s">
        <v>501</v>
      </c>
      <c r="E309" t="s">
        <v>502</v>
      </c>
      <c r="F309" t="s">
        <v>569</v>
      </c>
      <c r="G309" t="s">
        <v>569</v>
      </c>
      <c r="H309" t="s">
        <v>569</v>
      </c>
      <c r="I309" t="s">
        <v>569</v>
      </c>
      <c r="J309" t="s">
        <v>569</v>
      </c>
      <c r="K309">
        <v>0</v>
      </c>
      <c r="L309" t="s">
        <v>569</v>
      </c>
      <c r="M309" t="s">
        <v>569</v>
      </c>
      <c r="N309" t="s">
        <v>569</v>
      </c>
      <c r="O309" t="s">
        <v>569</v>
      </c>
      <c r="P309" t="s">
        <v>569</v>
      </c>
      <c r="Q309" t="s">
        <v>569</v>
      </c>
      <c r="R309">
        <v>49.28989421</v>
      </c>
      <c r="S309" t="s">
        <v>1213</v>
      </c>
      <c r="T309">
        <v>-123.11860799999999</v>
      </c>
      <c r="U309" t="s">
        <v>1206</v>
      </c>
      <c r="V309" t="s">
        <v>569</v>
      </c>
      <c r="W309" t="s">
        <v>569</v>
      </c>
      <c r="X309" t="s">
        <v>569</v>
      </c>
      <c r="Y309" t="s">
        <v>569</v>
      </c>
      <c r="Z309" t="s">
        <v>569</v>
      </c>
      <c r="AA309" t="s">
        <v>1229</v>
      </c>
      <c r="AB309">
        <v>50</v>
      </c>
      <c r="AC30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0" spans="1:29" x14ac:dyDescent="0.25">
      <c r="A310" t="s">
        <v>936</v>
      </c>
      <c r="B310" t="s">
        <v>505</v>
      </c>
      <c r="C310" t="s">
        <v>504</v>
      </c>
      <c r="D310" t="s">
        <v>501</v>
      </c>
      <c r="E310" t="s">
        <v>502</v>
      </c>
      <c r="F310" t="s">
        <v>569</v>
      </c>
      <c r="G310" t="s">
        <v>569</v>
      </c>
      <c r="H310" t="s">
        <v>569</v>
      </c>
      <c r="I310" t="s">
        <v>569</v>
      </c>
      <c r="J310" t="s">
        <v>569</v>
      </c>
      <c r="K310" t="s">
        <v>569</v>
      </c>
      <c r="L310" t="s">
        <v>569</v>
      </c>
      <c r="M310" t="s">
        <v>569</v>
      </c>
      <c r="N310" t="s">
        <v>569</v>
      </c>
      <c r="O310" t="s">
        <v>569</v>
      </c>
      <c r="P310" t="s">
        <v>569</v>
      </c>
      <c r="Q310" t="s">
        <v>569</v>
      </c>
      <c r="R310">
        <v>48.415150879999999</v>
      </c>
      <c r="S310" t="s">
        <v>1213</v>
      </c>
      <c r="T310">
        <v>-123.3562731</v>
      </c>
      <c r="U310" t="s">
        <v>1206</v>
      </c>
      <c r="V310" t="s">
        <v>569</v>
      </c>
      <c r="W310" t="s">
        <v>569</v>
      </c>
      <c r="X310" t="s">
        <v>569</v>
      </c>
      <c r="Y310" t="s">
        <v>569</v>
      </c>
      <c r="Z310" t="s">
        <v>569</v>
      </c>
      <c r="AA310" t="s">
        <v>569</v>
      </c>
      <c r="AB310">
        <v>50</v>
      </c>
      <c r="AC31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1" spans="1:29" x14ac:dyDescent="0.25">
      <c r="A311" t="s">
        <v>540</v>
      </c>
      <c r="B311" t="s">
        <v>536</v>
      </c>
      <c r="C311" t="s">
        <v>504</v>
      </c>
      <c r="D311" t="s">
        <v>501</v>
      </c>
      <c r="E311" t="s">
        <v>502</v>
      </c>
      <c r="F311" t="s">
        <v>569</v>
      </c>
      <c r="G311" t="s">
        <v>569</v>
      </c>
      <c r="H311" t="s">
        <v>569</v>
      </c>
      <c r="I311" t="s">
        <v>569</v>
      </c>
      <c r="J311" t="s">
        <v>569</v>
      </c>
      <c r="K311">
        <v>0</v>
      </c>
      <c r="L311" t="s">
        <v>569</v>
      </c>
      <c r="M311" t="s">
        <v>569</v>
      </c>
      <c r="N311" t="s">
        <v>569</v>
      </c>
      <c r="O311" t="s">
        <v>569</v>
      </c>
      <c r="P311" t="s">
        <v>569</v>
      </c>
      <c r="Q311" t="s">
        <v>569</v>
      </c>
      <c r="R311">
        <v>49.312589500000001</v>
      </c>
      <c r="S311" t="s">
        <v>1213</v>
      </c>
      <c r="T311">
        <v>-124.2639327</v>
      </c>
      <c r="U311" t="s">
        <v>1206</v>
      </c>
      <c r="V311" t="s">
        <v>569</v>
      </c>
      <c r="W311" t="s">
        <v>569</v>
      </c>
      <c r="X311" t="s">
        <v>569</v>
      </c>
      <c r="Y311" t="s">
        <v>569</v>
      </c>
      <c r="Z311" s="9">
        <v>0</v>
      </c>
      <c r="AA311" t="s">
        <v>1229</v>
      </c>
      <c r="AB311">
        <v>50</v>
      </c>
      <c r="AC3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2" spans="1:29" x14ac:dyDescent="0.25">
      <c r="A312" t="s">
        <v>907</v>
      </c>
      <c r="B312" t="s">
        <v>505</v>
      </c>
      <c r="C312" t="s">
        <v>504</v>
      </c>
      <c r="D312" t="s">
        <v>501</v>
      </c>
      <c r="E312" t="s">
        <v>502</v>
      </c>
      <c r="F312" t="s">
        <v>569</v>
      </c>
      <c r="G312" t="s">
        <v>569</v>
      </c>
      <c r="H312" t="s">
        <v>569</v>
      </c>
      <c r="I312" t="s">
        <v>569</v>
      </c>
      <c r="J312" t="s">
        <v>569</v>
      </c>
      <c r="K312">
        <v>0</v>
      </c>
      <c r="L312" t="s">
        <v>569</v>
      </c>
      <c r="M312" t="s">
        <v>569</v>
      </c>
      <c r="N312" t="s">
        <v>569</v>
      </c>
      <c r="O312" t="s">
        <v>569</v>
      </c>
      <c r="P312" t="s">
        <v>569</v>
      </c>
      <c r="Q312" t="s">
        <v>569</v>
      </c>
      <c r="R312">
        <v>48.524414129999997</v>
      </c>
      <c r="S312" t="s">
        <v>1213</v>
      </c>
      <c r="T312">
        <v>-123.3656931</v>
      </c>
      <c r="U312" t="s">
        <v>1206</v>
      </c>
      <c r="V312" t="s">
        <v>569</v>
      </c>
      <c r="W312" t="s">
        <v>569</v>
      </c>
      <c r="X312" t="s">
        <v>569</v>
      </c>
      <c r="Y312" t="s">
        <v>569</v>
      </c>
      <c r="Z312" t="s">
        <v>569</v>
      </c>
      <c r="AA312" t="s">
        <v>1229</v>
      </c>
      <c r="AB312">
        <v>50</v>
      </c>
      <c r="AC3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3" spans="1:29" x14ac:dyDescent="0.25">
      <c r="A313" t="s">
        <v>993</v>
      </c>
      <c r="B313" t="s">
        <v>521</v>
      </c>
      <c r="C313" t="s">
        <v>525</v>
      </c>
      <c r="D313" t="s">
        <v>522</v>
      </c>
      <c r="E313" t="s">
        <v>523</v>
      </c>
      <c r="F313" t="s">
        <v>569</v>
      </c>
      <c r="G313" t="s">
        <v>569</v>
      </c>
      <c r="H313" t="s">
        <v>569</v>
      </c>
      <c r="I313" t="s">
        <v>569</v>
      </c>
      <c r="J313" t="s">
        <v>569</v>
      </c>
      <c r="K313" t="s">
        <v>569</v>
      </c>
      <c r="L313" t="s">
        <v>569</v>
      </c>
      <c r="M313" t="s">
        <v>569</v>
      </c>
      <c r="N313" t="s">
        <v>569</v>
      </c>
      <c r="O313" t="s">
        <v>569</v>
      </c>
      <c r="P313" t="s">
        <v>569</v>
      </c>
      <c r="Q313" t="s">
        <v>569</v>
      </c>
      <c r="R313">
        <v>-31.995396450000001</v>
      </c>
      <c r="S313" t="s">
        <v>1111</v>
      </c>
      <c r="T313">
        <v>115.751195</v>
      </c>
      <c r="U313" t="s">
        <v>1201</v>
      </c>
      <c r="V313" t="s">
        <v>569</v>
      </c>
      <c r="W313" t="s">
        <v>569</v>
      </c>
      <c r="X313" t="s">
        <v>569</v>
      </c>
      <c r="Y313" t="s">
        <v>569</v>
      </c>
      <c r="Z313" t="s">
        <v>569</v>
      </c>
      <c r="AA313" t="s">
        <v>569</v>
      </c>
      <c r="AB313">
        <v>50</v>
      </c>
      <c r="AC3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4" spans="1:29" x14ac:dyDescent="0.25">
      <c r="A314" t="s">
        <v>1415</v>
      </c>
      <c r="B314" t="s">
        <v>505</v>
      </c>
      <c r="C314" t="s">
        <v>504</v>
      </c>
      <c r="D314" t="s">
        <v>501</v>
      </c>
      <c r="E314" t="s">
        <v>502</v>
      </c>
      <c r="F314" t="s">
        <v>569</v>
      </c>
      <c r="G314" t="s">
        <v>569</v>
      </c>
      <c r="H314" t="s">
        <v>569</v>
      </c>
      <c r="I314" t="s">
        <v>569</v>
      </c>
      <c r="J314" t="s">
        <v>569</v>
      </c>
      <c r="K314" t="s">
        <v>569</v>
      </c>
      <c r="L314" t="s">
        <v>569</v>
      </c>
      <c r="M314" t="s">
        <v>569</v>
      </c>
      <c r="N314" t="s">
        <v>569</v>
      </c>
      <c r="O314" t="s">
        <v>569</v>
      </c>
      <c r="P314" t="s">
        <v>569</v>
      </c>
      <c r="Q314" t="s">
        <v>569</v>
      </c>
      <c r="R314" t="s">
        <v>569</v>
      </c>
      <c r="S314" t="s">
        <v>569</v>
      </c>
      <c r="T314" t="s">
        <v>569</v>
      </c>
      <c r="U314" t="s">
        <v>569</v>
      </c>
      <c r="V314" t="s">
        <v>569</v>
      </c>
      <c r="W314" t="s">
        <v>569</v>
      </c>
      <c r="X314" t="s">
        <v>569</v>
      </c>
      <c r="Y314" t="s">
        <v>569</v>
      </c>
      <c r="Z314" t="s">
        <v>569</v>
      </c>
      <c r="AA314" t="s">
        <v>569</v>
      </c>
      <c r="AB314">
        <v>50</v>
      </c>
      <c r="AC31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5" spans="1:29" x14ac:dyDescent="0.25">
      <c r="A315" t="s">
        <v>670</v>
      </c>
      <c r="B315" t="s">
        <v>505</v>
      </c>
      <c r="C315" t="s">
        <v>504</v>
      </c>
      <c r="D315" t="s">
        <v>501</v>
      </c>
      <c r="E315" t="s">
        <v>502</v>
      </c>
      <c r="F315" t="s">
        <v>569</v>
      </c>
      <c r="G315" t="s">
        <v>569</v>
      </c>
      <c r="H315" t="s">
        <v>569</v>
      </c>
      <c r="I315" t="s">
        <v>569</v>
      </c>
      <c r="J315" t="s">
        <v>569</v>
      </c>
      <c r="K315">
        <v>0</v>
      </c>
      <c r="L315" t="s">
        <v>569</v>
      </c>
      <c r="M315" t="s">
        <v>569</v>
      </c>
      <c r="N315" t="s">
        <v>569</v>
      </c>
      <c r="O315" t="s">
        <v>569</v>
      </c>
      <c r="P315" t="s">
        <v>569</v>
      </c>
      <c r="Q315" t="s">
        <v>569</v>
      </c>
      <c r="R315">
        <v>48.42261499</v>
      </c>
      <c r="S315" t="s">
        <v>1213</v>
      </c>
      <c r="T315">
        <v>-123.3436695</v>
      </c>
      <c r="U315" t="s">
        <v>1206</v>
      </c>
      <c r="V315" t="s">
        <v>569</v>
      </c>
      <c r="W315" t="s">
        <v>569</v>
      </c>
      <c r="X315" t="s">
        <v>569</v>
      </c>
      <c r="Y315" t="s">
        <v>569</v>
      </c>
      <c r="Z315" t="s">
        <v>569</v>
      </c>
      <c r="AA315" t="s">
        <v>1229</v>
      </c>
      <c r="AB315">
        <v>50</v>
      </c>
      <c r="AC3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6" spans="1:29" x14ac:dyDescent="0.25">
      <c r="A316" t="s">
        <v>824</v>
      </c>
      <c r="B316" t="s">
        <v>557</v>
      </c>
      <c r="C316" t="s">
        <v>504</v>
      </c>
      <c r="D316" t="s">
        <v>501</v>
      </c>
      <c r="E316" t="s">
        <v>502</v>
      </c>
      <c r="F316" t="s">
        <v>569</v>
      </c>
      <c r="G316" t="s">
        <v>569</v>
      </c>
      <c r="H316" t="s">
        <v>569</v>
      </c>
      <c r="I316" t="s">
        <v>569</v>
      </c>
      <c r="J316" t="s">
        <v>569</v>
      </c>
      <c r="K316">
        <v>0</v>
      </c>
      <c r="L316" t="s">
        <v>569</v>
      </c>
      <c r="M316" t="s">
        <v>569</v>
      </c>
      <c r="N316" t="s">
        <v>569</v>
      </c>
      <c r="O316" t="s">
        <v>569</v>
      </c>
      <c r="P316" t="s">
        <v>569</v>
      </c>
      <c r="Q316" t="s">
        <v>569</v>
      </c>
      <c r="R316">
        <v>49.873338930000003</v>
      </c>
      <c r="S316" t="s">
        <v>1213</v>
      </c>
      <c r="T316">
        <v>-124.520655</v>
      </c>
      <c r="U316" t="s">
        <v>1206</v>
      </c>
      <c r="V316" t="s">
        <v>569</v>
      </c>
      <c r="W316" t="s">
        <v>569</v>
      </c>
      <c r="X316" t="s">
        <v>569</v>
      </c>
      <c r="Y316" t="s">
        <v>569</v>
      </c>
      <c r="Z316" t="s">
        <v>569</v>
      </c>
      <c r="AA316" t="s">
        <v>1229</v>
      </c>
      <c r="AB316">
        <v>50</v>
      </c>
      <c r="AC3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7" spans="1:29" x14ac:dyDescent="0.25">
      <c r="A317" t="s">
        <v>867</v>
      </c>
      <c r="B317" t="s">
        <v>572</v>
      </c>
      <c r="C317" t="s">
        <v>504</v>
      </c>
      <c r="D317" t="s">
        <v>501</v>
      </c>
      <c r="E317" t="s">
        <v>502</v>
      </c>
      <c r="F317" t="s">
        <v>569</v>
      </c>
      <c r="G317" t="s">
        <v>569</v>
      </c>
      <c r="H317" t="s">
        <v>569</v>
      </c>
      <c r="I317" t="s">
        <v>569</v>
      </c>
      <c r="J317" t="s">
        <v>569</v>
      </c>
      <c r="K317">
        <v>0</v>
      </c>
      <c r="L317" t="s">
        <v>569</v>
      </c>
      <c r="M317" t="s">
        <v>569</v>
      </c>
      <c r="N317" t="s">
        <v>569</v>
      </c>
      <c r="O317" t="s">
        <v>569</v>
      </c>
      <c r="P317" t="s">
        <v>569</v>
      </c>
      <c r="Q317" t="s">
        <v>569</v>
      </c>
      <c r="R317">
        <v>48.814452660000001</v>
      </c>
      <c r="S317" t="s">
        <v>1213</v>
      </c>
      <c r="T317">
        <v>-123.46875970000001</v>
      </c>
      <c r="U317" t="s">
        <v>1206</v>
      </c>
      <c r="V317" t="s">
        <v>569</v>
      </c>
      <c r="W317" t="s">
        <v>569</v>
      </c>
      <c r="X317" t="s">
        <v>569</v>
      </c>
      <c r="Y317" t="s">
        <v>569</v>
      </c>
      <c r="Z317" t="s">
        <v>569</v>
      </c>
      <c r="AA317" t="s">
        <v>1229</v>
      </c>
      <c r="AB317">
        <v>50</v>
      </c>
      <c r="AC3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8" spans="1:29" x14ac:dyDescent="0.25">
      <c r="A318" t="s">
        <v>1003</v>
      </c>
      <c r="B318" t="s">
        <v>505</v>
      </c>
      <c r="C318" t="s">
        <v>504</v>
      </c>
      <c r="D318" t="s">
        <v>501</v>
      </c>
      <c r="E318" t="s">
        <v>502</v>
      </c>
      <c r="F318" t="s">
        <v>569</v>
      </c>
      <c r="G318" t="s">
        <v>569</v>
      </c>
      <c r="H318" t="s">
        <v>569</v>
      </c>
      <c r="I318" t="s">
        <v>569</v>
      </c>
      <c r="J318" t="s">
        <v>569</v>
      </c>
      <c r="K318" t="s">
        <v>569</v>
      </c>
      <c r="L318" t="s">
        <v>569</v>
      </c>
      <c r="M318" t="s">
        <v>569</v>
      </c>
      <c r="N318" t="s">
        <v>569</v>
      </c>
      <c r="O318" t="s">
        <v>569</v>
      </c>
      <c r="P318" t="s">
        <v>569</v>
      </c>
      <c r="Q318" t="s">
        <v>569</v>
      </c>
      <c r="R318">
        <v>48.457627219999999</v>
      </c>
      <c r="S318" t="s">
        <v>1213</v>
      </c>
      <c r="T318">
        <v>-123.4017365</v>
      </c>
      <c r="U318" t="s">
        <v>1206</v>
      </c>
      <c r="V318" t="s">
        <v>569</v>
      </c>
      <c r="W318" t="s">
        <v>569</v>
      </c>
      <c r="X318" t="s">
        <v>569</v>
      </c>
      <c r="Y318" t="s">
        <v>569</v>
      </c>
      <c r="Z318" t="s">
        <v>569</v>
      </c>
      <c r="AA318" t="s">
        <v>569</v>
      </c>
      <c r="AB318">
        <v>50</v>
      </c>
      <c r="AC3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19" spans="1:29" x14ac:dyDescent="0.25">
      <c r="A319" t="s">
        <v>969</v>
      </c>
      <c r="B319" t="s">
        <v>948</v>
      </c>
      <c r="C319" t="s">
        <v>707</v>
      </c>
      <c r="D319" t="s">
        <v>522</v>
      </c>
      <c r="E319" t="s">
        <v>523</v>
      </c>
      <c r="F319" t="s">
        <v>569</v>
      </c>
      <c r="G319" t="s">
        <v>569</v>
      </c>
      <c r="H319" t="s">
        <v>569</v>
      </c>
      <c r="I319" t="s">
        <v>569</v>
      </c>
      <c r="J319" t="s">
        <v>569</v>
      </c>
      <c r="K319">
        <v>0</v>
      </c>
      <c r="L319" t="s">
        <v>569</v>
      </c>
      <c r="M319" t="s">
        <v>569</v>
      </c>
      <c r="N319" t="s">
        <v>569</v>
      </c>
      <c r="O319" t="s">
        <v>569</v>
      </c>
      <c r="P319" t="s">
        <v>569</v>
      </c>
      <c r="Q319" t="s">
        <v>569</v>
      </c>
      <c r="R319">
        <v>-16.225689110000001</v>
      </c>
      <c r="S319" t="s">
        <v>1111</v>
      </c>
      <c r="T319">
        <v>145.4364511</v>
      </c>
      <c r="U319" t="s">
        <v>1201</v>
      </c>
      <c r="V319" t="s">
        <v>569</v>
      </c>
      <c r="W319" t="s">
        <v>569</v>
      </c>
      <c r="X319" t="s">
        <v>569</v>
      </c>
      <c r="Y319" t="s">
        <v>569</v>
      </c>
      <c r="Z319" t="s">
        <v>569</v>
      </c>
      <c r="AA319" t="s">
        <v>1230</v>
      </c>
      <c r="AB319">
        <v>50</v>
      </c>
      <c r="AC3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0" spans="1:29" x14ac:dyDescent="0.25">
      <c r="A320" t="s">
        <v>949</v>
      </c>
      <c r="B320" t="s">
        <v>948</v>
      </c>
      <c r="C320" t="s">
        <v>707</v>
      </c>
      <c r="D320" t="s">
        <v>522</v>
      </c>
      <c r="E320" t="s">
        <v>523</v>
      </c>
      <c r="F320" t="s">
        <v>569</v>
      </c>
      <c r="G320" t="s">
        <v>569</v>
      </c>
      <c r="H320" t="s">
        <v>569</v>
      </c>
      <c r="I320" t="s">
        <v>569</v>
      </c>
      <c r="J320" t="s">
        <v>569</v>
      </c>
      <c r="K320">
        <v>0</v>
      </c>
      <c r="L320" t="s">
        <v>569</v>
      </c>
      <c r="M320" t="s">
        <v>569</v>
      </c>
      <c r="N320" t="s">
        <v>569</v>
      </c>
      <c r="O320" t="s">
        <v>569</v>
      </c>
      <c r="P320" t="s">
        <v>569</v>
      </c>
      <c r="Q320" t="s">
        <v>569</v>
      </c>
      <c r="R320">
        <v>-16.237508040000002</v>
      </c>
      <c r="S320" t="s">
        <v>1111</v>
      </c>
      <c r="T320">
        <v>145.42781070000001</v>
      </c>
      <c r="U320" t="s">
        <v>1201</v>
      </c>
      <c r="V320" t="s">
        <v>569</v>
      </c>
      <c r="W320" t="s">
        <v>569</v>
      </c>
      <c r="X320" t="s">
        <v>569</v>
      </c>
      <c r="Y320" t="s">
        <v>569</v>
      </c>
      <c r="Z320" t="s">
        <v>569</v>
      </c>
      <c r="AA320" t="s">
        <v>1229</v>
      </c>
      <c r="AB320">
        <v>50</v>
      </c>
      <c r="AC32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1" spans="1:29" x14ac:dyDescent="0.25">
      <c r="A321" t="s">
        <v>972</v>
      </c>
      <c r="B321" t="s">
        <v>948</v>
      </c>
      <c r="C321" t="s">
        <v>707</v>
      </c>
      <c r="D321" t="s">
        <v>522</v>
      </c>
      <c r="E321" t="s">
        <v>523</v>
      </c>
      <c r="F321" t="s">
        <v>569</v>
      </c>
      <c r="G321" t="s">
        <v>569</v>
      </c>
      <c r="H321" t="s">
        <v>569</v>
      </c>
      <c r="I321" t="s">
        <v>569</v>
      </c>
      <c r="J321" t="s">
        <v>569</v>
      </c>
      <c r="K321">
        <v>0</v>
      </c>
      <c r="L321" t="s">
        <v>569</v>
      </c>
      <c r="M321" t="s">
        <v>569</v>
      </c>
      <c r="N321" t="s">
        <v>569</v>
      </c>
      <c r="O321" t="s">
        <v>569</v>
      </c>
      <c r="P321" t="s">
        <v>569</v>
      </c>
      <c r="Q321" t="s">
        <v>569</v>
      </c>
      <c r="R321">
        <v>-16.259730909999998</v>
      </c>
      <c r="S321" t="s">
        <v>1111</v>
      </c>
      <c r="T321">
        <v>145.3982097</v>
      </c>
      <c r="U321" t="s">
        <v>1201</v>
      </c>
      <c r="V321" t="s">
        <v>569</v>
      </c>
      <c r="W321" t="s">
        <v>569</v>
      </c>
      <c r="X321" t="s">
        <v>569</v>
      </c>
      <c r="Y321" t="s">
        <v>569</v>
      </c>
      <c r="Z321" t="s">
        <v>569</v>
      </c>
      <c r="AA321" t="s">
        <v>1229</v>
      </c>
      <c r="AB321">
        <v>50</v>
      </c>
      <c r="AC3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2" spans="1:29" x14ac:dyDescent="0.25">
      <c r="A322" t="s">
        <v>950</v>
      </c>
      <c r="B322" t="s">
        <v>948</v>
      </c>
      <c r="C322" t="s">
        <v>707</v>
      </c>
      <c r="D322" t="s">
        <v>522</v>
      </c>
      <c r="E322" t="s">
        <v>523</v>
      </c>
      <c r="F322" t="s">
        <v>569</v>
      </c>
      <c r="G322" t="s">
        <v>569</v>
      </c>
      <c r="H322" t="s">
        <v>569</v>
      </c>
      <c r="I322" t="s">
        <v>569</v>
      </c>
      <c r="J322" t="s">
        <v>569</v>
      </c>
      <c r="K322">
        <v>0</v>
      </c>
      <c r="L322" t="s">
        <v>569</v>
      </c>
      <c r="M322" t="s">
        <v>569</v>
      </c>
      <c r="N322" t="s">
        <v>569</v>
      </c>
      <c r="O322" t="s">
        <v>569</v>
      </c>
      <c r="P322" t="s">
        <v>569</v>
      </c>
      <c r="Q322" t="s">
        <v>569</v>
      </c>
      <c r="R322">
        <v>-16.21377773</v>
      </c>
      <c r="S322" t="s">
        <v>1111</v>
      </c>
      <c r="T322">
        <v>145.40454489999999</v>
      </c>
      <c r="U322" t="s">
        <v>1201</v>
      </c>
      <c r="V322" t="s">
        <v>569</v>
      </c>
      <c r="W322" t="s">
        <v>569</v>
      </c>
      <c r="X322" t="s">
        <v>569</v>
      </c>
      <c r="Y322" t="s">
        <v>569</v>
      </c>
      <c r="Z322" t="s">
        <v>569</v>
      </c>
      <c r="AA322" t="s">
        <v>1229</v>
      </c>
      <c r="AB322">
        <v>50</v>
      </c>
      <c r="AC32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3" spans="1:29" x14ac:dyDescent="0.25">
      <c r="A323" t="s">
        <v>938</v>
      </c>
      <c r="B323" t="s">
        <v>937</v>
      </c>
      <c r="C323" t="s">
        <v>939</v>
      </c>
      <c r="D323" t="s">
        <v>652</v>
      </c>
      <c r="E323" t="s">
        <v>653</v>
      </c>
      <c r="F323" t="s">
        <v>569</v>
      </c>
      <c r="G323" t="s">
        <v>569</v>
      </c>
      <c r="H323" t="s">
        <v>569</v>
      </c>
      <c r="I323" t="s">
        <v>569</v>
      </c>
      <c r="J323" t="s">
        <v>569</v>
      </c>
      <c r="K323">
        <v>0</v>
      </c>
      <c r="L323" t="s">
        <v>569</v>
      </c>
      <c r="M323" t="s">
        <v>569</v>
      </c>
      <c r="N323" t="s">
        <v>569</v>
      </c>
      <c r="O323" t="s">
        <v>569</v>
      </c>
      <c r="P323" t="s">
        <v>569</v>
      </c>
      <c r="Q323" t="s">
        <v>569</v>
      </c>
      <c r="R323">
        <v>32.897570039999998</v>
      </c>
      <c r="S323" t="s">
        <v>1213</v>
      </c>
      <c r="T323">
        <v>-97.040455949999995</v>
      </c>
      <c r="U323" t="s">
        <v>1206</v>
      </c>
      <c r="V323" t="s">
        <v>569</v>
      </c>
      <c r="W323" t="s">
        <v>569</v>
      </c>
      <c r="X323" t="s">
        <v>569</v>
      </c>
      <c r="Y323" t="s">
        <v>569</v>
      </c>
      <c r="Z323" t="s">
        <v>569</v>
      </c>
      <c r="AA323" t="s">
        <v>1229</v>
      </c>
      <c r="AB323">
        <v>50</v>
      </c>
      <c r="AC32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4" spans="1:29" x14ac:dyDescent="0.25">
      <c r="A324" t="s">
        <v>588</v>
      </c>
      <c r="B324" t="s">
        <v>505</v>
      </c>
      <c r="C324" t="s">
        <v>504</v>
      </c>
      <c r="D324" t="s">
        <v>501</v>
      </c>
      <c r="E324" t="s">
        <v>502</v>
      </c>
      <c r="F324" t="s">
        <v>569</v>
      </c>
      <c r="G324" t="s">
        <v>569</v>
      </c>
      <c r="H324" t="s">
        <v>569</v>
      </c>
      <c r="I324" t="s">
        <v>569</v>
      </c>
      <c r="J324" t="s">
        <v>569</v>
      </c>
      <c r="K324">
        <v>0</v>
      </c>
      <c r="L324" t="s">
        <v>569</v>
      </c>
      <c r="M324" t="s">
        <v>569</v>
      </c>
      <c r="N324" t="s">
        <v>569</v>
      </c>
      <c r="O324" t="s">
        <v>569</v>
      </c>
      <c r="P324" t="s">
        <v>569</v>
      </c>
      <c r="Q324" t="s">
        <v>569</v>
      </c>
      <c r="R324">
        <v>48.40772492</v>
      </c>
      <c r="S324" t="s">
        <v>1213</v>
      </c>
      <c r="T324">
        <v>-123.3465958</v>
      </c>
      <c r="U324" t="s">
        <v>1206</v>
      </c>
      <c r="V324" t="s">
        <v>569</v>
      </c>
      <c r="W324" t="s">
        <v>569</v>
      </c>
      <c r="X324" t="s">
        <v>569</v>
      </c>
      <c r="Y324" t="s">
        <v>569</v>
      </c>
      <c r="Z324" t="s">
        <v>569</v>
      </c>
      <c r="AA324" t="s">
        <v>1229</v>
      </c>
      <c r="AB324">
        <v>50</v>
      </c>
      <c r="AC3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5" spans="1:29" x14ac:dyDescent="0.25">
      <c r="A325" t="s">
        <v>782</v>
      </c>
      <c r="B325" t="s">
        <v>781</v>
      </c>
      <c r="C325" t="s">
        <v>783</v>
      </c>
      <c r="D325" t="s">
        <v>777</v>
      </c>
      <c r="E325" t="s">
        <v>778</v>
      </c>
      <c r="F325" t="s">
        <v>569</v>
      </c>
      <c r="G325" t="s">
        <v>569</v>
      </c>
      <c r="H325" t="s">
        <v>569</v>
      </c>
      <c r="I325" t="s">
        <v>569</v>
      </c>
      <c r="J325" t="s">
        <v>569</v>
      </c>
      <c r="K325">
        <v>0</v>
      </c>
      <c r="L325" t="s">
        <v>569</v>
      </c>
      <c r="M325" t="s">
        <v>569</v>
      </c>
      <c r="N325" t="s">
        <v>569</v>
      </c>
      <c r="O325" t="s">
        <v>569</v>
      </c>
      <c r="P325" t="s">
        <v>569</v>
      </c>
      <c r="Q325" t="s">
        <v>569</v>
      </c>
      <c r="R325">
        <v>13.51930331</v>
      </c>
      <c r="S325" t="s">
        <v>1213</v>
      </c>
      <c r="T325">
        <v>99.959288839999999</v>
      </c>
      <c r="U325" t="s">
        <v>1201</v>
      </c>
      <c r="V325" t="s">
        <v>569</v>
      </c>
      <c r="W325" t="s">
        <v>569</v>
      </c>
      <c r="X325" t="s">
        <v>569</v>
      </c>
      <c r="Y325" t="s">
        <v>569</v>
      </c>
      <c r="Z325" t="s">
        <v>569</v>
      </c>
      <c r="AA325" t="s">
        <v>1229</v>
      </c>
      <c r="AB325">
        <v>50</v>
      </c>
      <c r="AC32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6" spans="1:29" x14ac:dyDescent="0.25">
      <c r="A326" t="s">
        <v>698</v>
      </c>
      <c r="B326" t="s">
        <v>696</v>
      </c>
      <c r="C326" t="s">
        <v>677</v>
      </c>
      <c r="D326" t="s">
        <v>522</v>
      </c>
      <c r="E326" t="s">
        <v>523</v>
      </c>
      <c r="F326" t="s">
        <v>569</v>
      </c>
      <c r="G326" t="s">
        <v>569</v>
      </c>
      <c r="H326" t="s">
        <v>569</v>
      </c>
      <c r="I326" t="s">
        <v>569</v>
      </c>
      <c r="J326" t="s">
        <v>569</v>
      </c>
      <c r="K326">
        <v>0</v>
      </c>
      <c r="L326" t="s">
        <v>569</v>
      </c>
      <c r="M326" t="s">
        <v>569</v>
      </c>
      <c r="N326" t="s">
        <v>569</v>
      </c>
      <c r="O326" t="s">
        <v>569</v>
      </c>
      <c r="P326" t="s">
        <v>569</v>
      </c>
      <c r="Q326" t="s">
        <v>569</v>
      </c>
      <c r="R326">
        <v>-33.851366509999998</v>
      </c>
      <c r="S326" t="s">
        <v>1111</v>
      </c>
      <c r="T326">
        <v>151.1996651</v>
      </c>
      <c r="U326" t="s">
        <v>1201</v>
      </c>
      <c r="V326" t="s">
        <v>569</v>
      </c>
      <c r="W326" t="s">
        <v>569</v>
      </c>
      <c r="X326" t="s">
        <v>569</v>
      </c>
      <c r="Y326" t="s">
        <v>569</v>
      </c>
      <c r="Z326" t="s">
        <v>569</v>
      </c>
      <c r="AA326" t="s">
        <v>1229</v>
      </c>
      <c r="AB326">
        <v>50</v>
      </c>
      <c r="AC3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7" spans="1:29" x14ac:dyDescent="0.25">
      <c r="A327" t="s">
        <v>674</v>
      </c>
      <c r="B327" t="s">
        <v>672</v>
      </c>
      <c r="C327" t="s">
        <v>504</v>
      </c>
      <c r="D327" t="s">
        <v>501</v>
      </c>
      <c r="E327" t="s">
        <v>502</v>
      </c>
      <c r="F327" t="s">
        <v>569</v>
      </c>
      <c r="G327" t="s">
        <v>569</v>
      </c>
      <c r="H327" t="s">
        <v>569</v>
      </c>
      <c r="I327" t="s">
        <v>569</v>
      </c>
      <c r="J327" t="s">
        <v>569</v>
      </c>
      <c r="K327">
        <v>0</v>
      </c>
      <c r="L327" t="s">
        <v>569</v>
      </c>
      <c r="M327" t="s">
        <v>569</v>
      </c>
      <c r="N327" t="s">
        <v>569</v>
      </c>
      <c r="O327" t="s">
        <v>569</v>
      </c>
      <c r="P327" t="s">
        <v>569</v>
      </c>
      <c r="Q327" t="s">
        <v>569</v>
      </c>
      <c r="R327">
        <v>49.890680879999998</v>
      </c>
      <c r="S327" t="s">
        <v>1213</v>
      </c>
      <c r="T327">
        <v>-119.4982696</v>
      </c>
      <c r="U327" t="s">
        <v>1206</v>
      </c>
      <c r="V327" t="s">
        <v>569</v>
      </c>
      <c r="W327" t="s">
        <v>569</v>
      </c>
      <c r="X327" t="s">
        <v>569</v>
      </c>
      <c r="Y327" t="s">
        <v>569</v>
      </c>
      <c r="Z327" s="9">
        <v>0</v>
      </c>
      <c r="AA327" t="s">
        <v>1229</v>
      </c>
      <c r="AB327">
        <v>50</v>
      </c>
      <c r="AC3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8" spans="1:29" x14ac:dyDescent="0.25">
      <c r="A328" t="s">
        <v>682</v>
      </c>
      <c r="B328" t="s">
        <v>679</v>
      </c>
      <c r="C328" t="s">
        <v>683</v>
      </c>
      <c r="D328" t="s">
        <v>680</v>
      </c>
      <c r="E328" t="s">
        <v>681</v>
      </c>
      <c r="F328" t="s">
        <v>569</v>
      </c>
      <c r="G328" t="s">
        <v>569</v>
      </c>
      <c r="H328" t="s">
        <v>569</v>
      </c>
      <c r="I328" t="s">
        <v>569</v>
      </c>
      <c r="J328" t="s">
        <v>569</v>
      </c>
      <c r="K328">
        <v>0</v>
      </c>
      <c r="L328" t="s">
        <v>569</v>
      </c>
      <c r="M328" t="s">
        <v>569</v>
      </c>
      <c r="N328" t="s">
        <v>569</v>
      </c>
      <c r="O328" t="s">
        <v>569</v>
      </c>
      <c r="P328" t="s">
        <v>569</v>
      </c>
      <c r="Q328" t="s">
        <v>569</v>
      </c>
      <c r="R328">
        <v>-17.759926289999999</v>
      </c>
      <c r="S328" t="s">
        <v>1111</v>
      </c>
      <c r="T328">
        <v>177.37255099999999</v>
      </c>
      <c r="U328" t="s">
        <v>1201</v>
      </c>
      <c r="V328" t="s">
        <v>569</v>
      </c>
      <c r="W328" t="s">
        <v>569</v>
      </c>
      <c r="X328" t="s">
        <v>569</v>
      </c>
      <c r="Y328" t="s">
        <v>569</v>
      </c>
      <c r="Z328" s="9">
        <v>0</v>
      </c>
      <c r="AA328" t="s">
        <v>1229</v>
      </c>
      <c r="AB328">
        <v>50</v>
      </c>
      <c r="AC3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29" spans="1:29" x14ac:dyDescent="0.25">
      <c r="A329" t="s">
        <v>901</v>
      </c>
      <c r="B329" t="s">
        <v>896</v>
      </c>
      <c r="C329" t="s">
        <v>504</v>
      </c>
      <c r="D329" t="s">
        <v>501</v>
      </c>
      <c r="E329" t="s">
        <v>502</v>
      </c>
      <c r="F329" t="s">
        <v>569</v>
      </c>
      <c r="G329" t="s">
        <v>569</v>
      </c>
      <c r="H329" t="s">
        <v>569</v>
      </c>
      <c r="I329" t="s">
        <v>569</v>
      </c>
      <c r="J329" t="s">
        <v>569</v>
      </c>
      <c r="K329">
        <v>0</v>
      </c>
      <c r="L329" t="s">
        <v>569</v>
      </c>
      <c r="M329" t="s">
        <v>569</v>
      </c>
      <c r="N329" t="s">
        <v>569</v>
      </c>
      <c r="O329" t="s">
        <v>569</v>
      </c>
      <c r="P329" t="s">
        <v>569</v>
      </c>
      <c r="Q329" t="s">
        <v>569</v>
      </c>
      <c r="R329">
        <v>48.83440624</v>
      </c>
      <c r="S329" t="s">
        <v>1213</v>
      </c>
      <c r="T329">
        <v>-123.3178961</v>
      </c>
      <c r="U329" t="s">
        <v>1206</v>
      </c>
      <c r="V329" t="s">
        <v>569</v>
      </c>
      <c r="W329" t="s">
        <v>569</v>
      </c>
      <c r="X329" t="s">
        <v>569</v>
      </c>
      <c r="Y329" t="s">
        <v>569</v>
      </c>
      <c r="Z329" t="s">
        <v>569</v>
      </c>
      <c r="AA329" t="s">
        <v>1229</v>
      </c>
      <c r="AB329">
        <v>50</v>
      </c>
      <c r="AC32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0" spans="1:29" x14ac:dyDescent="0.25">
      <c r="A330" t="s">
        <v>869</v>
      </c>
      <c r="B330" t="s">
        <v>505</v>
      </c>
      <c r="C330" t="s">
        <v>504</v>
      </c>
      <c r="D330" t="s">
        <v>501</v>
      </c>
      <c r="E330" t="s">
        <v>502</v>
      </c>
      <c r="F330" t="s">
        <v>569</v>
      </c>
      <c r="G330" t="s">
        <v>569</v>
      </c>
      <c r="H330" t="s">
        <v>569</v>
      </c>
      <c r="I330" t="s">
        <v>569</v>
      </c>
      <c r="J330" t="s">
        <v>569</v>
      </c>
      <c r="K330">
        <v>0</v>
      </c>
      <c r="L330" t="s">
        <v>569</v>
      </c>
      <c r="M330" t="s">
        <v>569</v>
      </c>
      <c r="N330" t="s">
        <v>569</v>
      </c>
      <c r="O330" t="s">
        <v>569</v>
      </c>
      <c r="P330" t="s">
        <v>569</v>
      </c>
      <c r="Q330" t="s">
        <v>569</v>
      </c>
      <c r="R330">
        <v>48.447923809999999</v>
      </c>
      <c r="S330" t="s">
        <v>1213</v>
      </c>
      <c r="T330">
        <v>-123.4513414</v>
      </c>
      <c r="U330" t="s">
        <v>1206</v>
      </c>
      <c r="V330" t="s">
        <v>569</v>
      </c>
      <c r="W330" t="s">
        <v>569</v>
      </c>
      <c r="X330" t="s">
        <v>569</v>
      </c>
      <c r="Y330" t="s">
        <v>569</v>
      </c>
      <c r="Z330" t="s">
        <v>569</v>
      </c>
      <c r="AA330" t="s">
        <v>1229</v>
      </c>
      <c r="AB330">
        <v>50</v>
      </c>
      <c r="AC3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1" spans="1:29" x14ac:dyDescent="0.25">
      <c r="A331" t="s">
        <v>1375</v>
      </c>
      <c r="B331" t="s">
        <v>557</v>
      </c>
      <c r="C331" t="s">
        <v>504</v>
      </c>
      <c r="D331" t="s">
        <v>501</v>
      </c>
      <c r="E331" t="s">
        <v>502</v>
      </c>
      <c r="F331" t="s">
        <v>569</v>
      </c>
      <c r="G331" t="s">
        <v>569</v>
      </c>
      <c r="H331" t="s">
        <v>569</v>
      </c>
      <c r="I331" t="s">
        <v>569</v>
      </c>
      <c r="J331" t="s">
        <v>569</v>
      </c>
      <c r="K331" t="s">
        <v>569</v>
      </c>
      <c r="L331" t="s">
        <v>569</v>
      </c>
      <c r="M331" t="s">
        <v>569</v>
      </c>
      <c r="N331" t="s">
        <v>569</v>
      </c>
      <c r="O331" t="s">
        <v>569</v>
      </c>
      <c r="P331" t="s">
        <v>569</v>
      </c>
      <c r="Q331" t="s">
        <v>569</v>
      </c>
      <c r="R331" t="s">
        <v>569</v>
      </c>
      <c r="S331" t="s">
        <v>569</v>
      </c>
      <c r="T331" t="s">
        <v>569</v>
      </c>
      <c r="U331" t="s">
        <v>569</v>
      </c>
      <c r="V331" t="s">
        <v>569</v>
      </c>
      <c r="W331" t="s">
        <v>569</v>
      </c>
      <c r="X331" t="s">
        <v>569</v>
      </c>
      <c r="Y331" t="s">
        <v>569</v>
      </c>
      <c r="Z331" t="s">
        <v>569</v>
      </c>
      <c r="AA331" t="s">
        <v>569</v>
      </c>
      <c r="AB331">
        <v>50</v>
      </c>
      <c r="AC33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2" spans="1:29" x14ac:dyDescent="0.25">
      <c r="A332" t="s">
        <v>859</v>
      </c>
      <c r="B332" t="s">
        <v>505</v>
      </c>
      <c r="C332" t="s">
        <v>504</v>
      </c>
      <c r="D332" t="s">
        <v>501</v>
      </c>
      <c r="E332" t="s">
        <v>502</v>
      </c>
      <c r="F332" t="s">
        <v>569</v>
      </c>
      <c r="G332" t="s">
        <v>569</v>
      </c>
      <c r="H332" t="s">
        <v>569</v>
      </c>
      <c r="I332" t="s">
        <v>569</v>
      </c>
      <c r="J332" t="s">
        <v>569</v>
      </c>
      <c r="K332">
        <v>0</v>
      </c>
      <c r="L332" t="s">
        <v>569</v>
      </c>
      <c r="M332" t="s">
        <v>569</v>
      </c>
      <c r="N332" t="s">
        <v>569</v>
      </c>
      <c r="O332" t="s">
        <v>569</v>
      </c>
      <c r="P332" t="s">
        <v>569</v>
      </c>
      <c r="Q332" t="s">
        <v>569</v>
      </c>
      <c r="R332">
        <v>48.428579409999998</v>
      </c>
      <c r="S332" t="s">
        <v>1213</v>
      </c>
      <c r="T332">
        <v>-123.36455580000001</v>
      </c>
      <c r="U332" t="s">
        <v>1206</v>
      </c>
      <c r="V332" t="s">
        <v>569</v>
      </c>
      <c r="W332" t="s">
        <v>569</v>
      </c>
      <c r="X332" t="s">
        <v>569</v>
      </c>
      <c r="Y332" t="s">
        <v>569</v>
      </c>
      <c r="Z332" t="s">
        <v>569</v>
      </c>
      <c r="AA332" t="s">
        <v>1229</v>
      </c>
      <c r="AB332">
        <v>50</v>
      </c>
      <c r="AC3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3" spans="1:29" x14ac:dyDescent="0.25">
      <c r="A333" t="s">
        <v>816</v>
      </c>
      <c r="B333" t="s">
        <v>505</v>
      </c>
      <c r="C333" t="s">
        <v>504</v>
      </c>
      <c r="D333" t="s">
        <v>501</v>
      </c>
      <c r="E333" t="s">
        <v>502</v>
      </c>
      <c r="F333" t="s">
        <v>569</v>
      </c>
      <c r="G333" t="s">
        <v>569</v>
      </c>
      <c r="H333" t="s">
        <v>569</v>
      </c>
      <c r="I333" t="s">
        <v>569</v>
      </c>
      <c r="J333" t="s">
        <v>569</v>
      </c>
      <c r="K333">
        <v>0</v>
      </c>
      <c r="L333" t="s">
        <v>569</v>
      </c>
      <c r="M333" t="s">
        <v>569</v>
      </c>
      <c r="N333" t="s">
        <v>569</v>
      </c>
      <c r="O333" t="s">
        <v>569</v>
      </c>
      <c r="P333" t="s">
        <v>569</v>
      </c>
      <c r="Q333" t="s">
        <v>569</v>
      </c>
      <c r="R333">
        <v>48.423120509999997</v>
      </c>
      <c r="S333" t="s">
        <v>1213</v>
      </c>
      <c r="T333">
        <v>-123.36324159999999</v>
      </c>
      <c r="U333" t="s">
        <v>1206</v>
      </c>
      <c r="V333" t="s">
        <v>569</v>
      </c>
      <c r="W333" t="s">
        <v>569</v>
      </c>
      <c r="X333" t="s">
        <v>569</v>
      </c>
      <c r="Y333" t="s">
        <v>569</v>
      </c>
      <c r="Z333" t="s">
        <v>569</v>
      </c>
      <c r="AA333" t="s">
        <v>1229</v>
      </c>
      <c r="AB333">
        <v>50</v>
      </c>
      <c r="AC33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4" spans="1:29" x14ac:dyDescent="0.25">
      <c r="A334" t="s">
        <v>514</v>
      </c>
      <c r="B334" t="s">
        <v>513</v>
      </c>
      <c r="C334" t="s">
        <v>504</v>
      </c>
      <c r="D334" t="s">
        <v>501</v>
      </c>
      <c r="E334" t="s">
        <v>502</v>
      </c>
      <c r="F334" t="s">
        <v>569</v>
      </c>
      <c r="G334" t="s">
        <v>569</v>
      </c>
      <c r="H334" t="s">
        <v>569</v>
      </c>
      <c r="I334" t="s">
        <v>569</v>
      </c>
      <c r="J334" t="s">
        <v>569</v>
      </c>
      <c r="K334">
        <v>0</v>
      </c>
      <c r="L334" t="s">
        <v>569</v>
      </c>
      <c r="M334" t="s">
        <v>569</v>
      </c>
      <c r="N334" t="s">
        <v>569</v>
      </c>
      <c r="O334" t="s">
        <v>569</v>
      </c>
      <c r="P334" t="s">
        <v>569</v>
      </c>
      <c r="Q334" t="s">
        <v>569</v>
      </c>
      <c r="R334">
        <v>49.279592530000002</v>
      </c>
      <c r="S334" t="s">
        <v>1213</v>
      </c>
      <c r="T334">
        <v>-123.103416</v>
      </c>
      <c r="U334" t="s">
        <v>1206</v>
      </c>
      <c r="V334" t="s">
        <v>569</v>
      </c>
      <c r="W334" t="s">
        <v>569</v>
      </c>
      <c r="X334" t="s">
        <v>569</v>
      </c>
      <c r="Y334" t="s">
        <v>569</v>
      </c>
      <c r="Z334" t="s">
        <v>569</v>
      </c>
      <c r="AA334" t="s">
        <v>1229</v>
      </c>
      <c r="AB334">
        <v>50</v>
      </c>
      <c r="AC3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5" spans="1:29" x14ac:dyDescent="0.25">
      <c r="A335" t="s">
        <v>875</v>
      </c>
      <c r="B335" t="s">
        <v>873</v>
      </c>
      <c r="C335" t="s">
        <v>504</v>
      </c>
      <c r="D335" t="s">
        <v>501</v>
      </c>
      <c r="E335" t="s">
        <v>502</v>
      </c>
      <c r="F335" t="s">
        <v>569</v>
      </c>
      <c r="G335" t="s">
        <v>569</v>
      </c>
      <c r="H335" t="s">
        <v>569</v>
      </c>
      <c r="I335" t="s">
        <v>569</v>
      </c>
      <c r="J335" t="s">
        <v>569</v>
      </c>
      <c r="K335">
        <v>0</v>
      </c>
      <c r="L335" t="s">
        <v>569</v>
      </c>
      <c r="M335" t="s">
        <v>569</v>
      </c>
      <c r="N335" t="s">
        <v>569</v>
      </c>
      <c r="O335" t="s">
        <v>569</v>
      </c>
      <c r="P335" t="s">
        <v>569</v>
      </c>
      <c r="Q335" t="s">
        <v>569</v>
      </c>
      <c r="R335">
        <v>49.13388647</v>
      </c>
      <c r="S335" t="s">
        <v>1213</v>
      </c>
      <c r="T335">
        <v>-123.69537680000001</v>
      </c>
      <c r="U335" t="s">
        <v>1206</v>
      </c>
      <c r="V335" t="s">
        <v>569</v>
      </c>
      <c r="W335" t="s">
        <v>569</v>
      </c>
      <c r="X335" t="s">
        <v>569</v>
      </c>
      <c r="Y335" t="s">
        <v>569</v>
      </c>
      <c r="Z335" t="s">
        <v>569</v>
      </c>
      <c r="AA335" t="s">
        <v>1229</v>
      </c>
      <c r="AB335">
        <v>50</v>
      </c>
      <c r="AC3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6" spans="1:29" x14ac:dyDescent="0.25">
      <c r="A336" t="s">
        <v>5</v>
      </c>
      <c r="B336" t="s">
        <v>5</v>
      </c>
      <c r="C336" t="s">
        <v>504</v>
      </c>
      <c r="D336" t="s">
        <v>501</v>
      </c>
      <c r="E336" t="s">
        <v>502</v>
      </c>
      <c r="F336" t="s">
        <v>569</v>
      </c>
      <c r="G336" t="s">
        <v>569</v>
      </c>
      <c r="H336" t="s">
        <v>569</v>
      </c>
      <c r="I336" t="s">
        <v>569</v>
      </c>
      <c r="J336" t="s">
        <v>569</v>
      </c>
      <c r="K336">
        <v>0</v>
      </c>
      <c r="L336" t="s">
        <v>569</v>
      </c>
      <c r="M336" t="s">
        <v>569</v>
      </c>
      <c r="N336" t="s">
        <v>569</v>
      </c>
      <c r="O336" t="s">
        <v>569</v>
      </c>
      <c r="P336" t="s">
        <v>569</v>
      </c>
      <c r="Q336" t="s">
        <v>569</v>
      </c>
      <c r="R336">
        <v>48.740603180000001</v>
      </c>
      <c r="S336" t="s">
        <v>1213</v>
      </c>
      <c r="T336">
        <v>-123.6184073</v>
      </c>
      <c r="U336" t="s">
        <v>1206</v>
      </c>
      <c r="V336" t="s">
        <v>569</v>
      </c>
      <c r="W336" t="s">
        <v>569</v>
      </c>
      <c r="X336" t="s">
        <v>569</v>
      </c>
      <c r="Y336" t="s">
        <v>569</v>
      </c>
      <c r="Z336" t="s">
        <v>569</v>
      </c>
      <c r="AA336" t="s">
        <v>1230</v>
      </c>
      <c r="AB336">
        <v>50</v>
      </c>
      <c r="AC33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7" spans="1:29" x14ac:dyDescent="0.25">
      <c r="A337" t="s">
        <v>1406</v>
      </c>
      <c r="B337" t="s">
        <v>505</v>
      </c>
      <c r="C337" t="s">
        <v>504</v>
      </c>
      <c r="D337" t="s">
        <v>501</v>
      </c>
      <c r="E337" t="s">
        <v>502</v>
      </c>
      <c r="F337" t="s">
        <v>569</v>
      </c>
      <c r="G337" t="s">
        <v>569</v>
      </c>
      <c r="H337" t="s">
        <v>569</v>
      </c>
      <c r="I337" t="s">
        <v>569</v>
      </c>
      <c r="J337" t="s">
        <v>569</v>
      </c>
      <c r="K337" t="s">
        <v>569</v>
      </c>
      <c r="L337" t="s">
        <v>569</v>
      </c>
      <c r="M337" t="s">
        <v>569</v>
      </c>
      <c r="N337" t="s">
        <v>569</v>
      </c>
      <c r="O337" t="s">
        <v>569</v>
      </c>
      <c r="P337" t="s">
        <v>569</v>
      </c>
      <c r="Q337" t="s">
        <v>569</v>
      </c>
      <c r="R337" t="s">
        <v>569</v>
      </c>
      <c r="S337" t="s">
        <v>569</v>
      </c>
      <c r="T337" t="s">
        <v>569</v>
      </c>
      <c r="U337" t="s">
        <v>569</v>
      </c>
      <c r="V337" t="s">
        <v>569</v>
      </c>
      <c r="W337" t="s">
        <v>569</v>
      </c>
      <c r="X337" t="s">
        <v>569</v>
      </c>
      <c r="Y337" t="s">
        <v>569</v>
      </c>
      <c r="Z337" t="s">
        <v>569</v>
      </c>
      <c r="AA337" t="s">
        <v>569</v>
      </c>
      <c r="AB337">
        <v>50</v>
      </c>
      <c r="AC33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8" spans="1:29" x14ac:dyDescent="0.25">
      <c r="A338" t="s">
        <v>608</v>
      </c>
      <c r="B338" t="s">
        <v>505</v>
      </c>
      <c r="C338" t="s">
        <v>504</v>
      </c>
      <c r="D338" t="s">
        <v>501</v>
      </c>
      <c r="E338" t="s">
        <v>502</v>
      </c>
      <c r="F338" t="s">
        <v>569</v>
      </c>
      <c r="G338" t="s">
        <v>569</v>
      </c>
      <c r="H338" t="s">
        <v>569</v>
      </c>
      <c r="I338" t="s">
        <v>569</v>
      </c>
      <c r="J338" t="s">
        <v>569</v>
      </c>
      <c r="K338">
        <v>0</v>
      </c>
      <c r="L338" t="s">
        <v>569</v>
      </c>
      <c r="M338" t="s">
        <v>569</v>
      </c>
      <c r="N338" t="s">
        <v>569</v>
      </c>
      <c r="O338" t="s">
        <v>569</v>
      </c>
      <c r="P338" t="s">
        <v>569</v>
      </c>
      <c r="Q338" t="s">
        <v>569</v>
      </c>
      <c r="R338">
        <v>48.547580580000002</v>
      </c>
      <c r="S338" t="s">
        <v>1213</v>
      </c>
      <c r="T338">
        <v>-123.476994</v>
      </c>
      <c r="U338" t="s">
        <v>1206</v>
      </c>
      <c r="V338" t="s">
        <v>569</v>
      </c>
      <c r="W338" t="s">
        <v>569</v>
      </c>
      <c r="X338" t="s">
        <v>569</v>
      </c>
      <c r="Y338" t="s">
        <v>569</v>
      </c>
      <c r="Z338" t="s">
        <v>569</v>
      </c>
      <c r="AA338" t="s">
        <v>1229</v>
      </c>
      <c r="AB338">
        <v>50</v>
      </c>
      <c r="AC33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39" spans="1:29" x14ac:dyDescent="0.25">
      <c r="A339" t="s">
        <v>542</v>
      </c>
      <c r="B339" t="s">
        <v>541</v>
      </c>
      <c r="C339" t="s">
        <v>504</v>
      </c>
      <c r="D339" t="s">
        <v>501</v>
      </c>
      <c r="E339" t="s">
        <v>502</v>
      </c>
      <c r="F339" t="s">
        <v>569</v>
      </c>
      <c r="G339" t="s">
        <v>569</v>
      </c>
      <c r="H339" t="s">
        <v>569</v>
      </c>
      <c r="I339" t="s">
        <v>569</v>
      </c>
      <c r="J339" t="s">
        <v>569</v>
      </c>
      <c r="K339" t="s">
        <v>569</v>
      </c>
      <c r="L339" t="s">
        <v>569</v>
      </c>
      <c r="M339" t="s">
        <v>569</v>
      </c>
      <c r="N339" t="s">
        <v>569</v>
      </c>
      <c r="O339" t="s">
        <v>569</v>
      </c>
      <c r="P339" t="s">
        <v>569</v>
      </c>
      <c r="Q339" t="s">
        <v>569</v>
      </c>
      <c r="R339">
        <v>48.325727780000001</v>
      </c>
      <c r="S339" t="s">
        <v>1213</v>
      </c>
      <c r="T339">
        <v>-123.63296939999999</v>
      </c>
      <c r="U339" t="s">
        <v>1206</v>
      </c>
      <c r="V339" t="s">
        <v>569</v>
      </c>
      <c r="W339" t="s">
        <v>569</v>
      </c>
      <c r="X339" t="s">
        <v>569</v>
      </c>
      <c r="Y339" t="s">
        <v>569</v>
      </c>
      <c r="Z339" t="s">
        <v>569</v>
      </c>
      <c r="AA339" t="s">
        <v>1230</v>
      </c>
      <c r="AB339">
        <v>50</v>
      </c>
      <c r="AC33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0" spans="1:29" x14ac:dyDescent="0.25">
      <c r="A340" t="s">
        <v>1356</v>
      </c>
      <c r="B340" t="s">
        <v>541</v>
      </c>
      <c r="C340" t="s">
        <v>504</v>
      </c>
      <c r="D340" t="s">
        <v>501</v>
      </c>
      <c r="E340" t="s">
        <v>502</v>
      </c>
      <c r="F340" t="s">
        <v>569</v>
      </c>
      <c r="G340" t="s">
        <v>569</v>
      </c>
      <c r="H340" t="s">
        <v>569</v>
      </c>
      <c r="I340" t="s">
        <v>569</v>
      </c>
      <c r="J340" t="s">
        <v>569</v>
      </c>
      <c r="K340" t="s">
        <v>569</v>
      </c>
      <c r="L340" t="s">
        <v>569</v>
      </c>
      <c r="M340" t="s">
        <v>569</v>
      </c>
      <c r="N340" t="s">
        <v>569</v>
      </c>
      <c r="O340" t="s">
        <v>569</v>
      </c>
      <c r="P340" t="s">
        <v>569</v>
      </c>
      <c r="Q340" t="s">
        <v>569</v>
      </c>
      <c r="R340" t="s">
        <v>569</v>
      </c>
      <c r="S340" t="s">
        <v>569</v>
      </c>
      <c r="T340" t="s">
        <v>569</v>
      </c>
      <c r="U340" t="s">
        <v>569</v>
      </c>
      <c r="V340" t="s">
        <v>569</v>
      </c>
      <c r="W340" t="s">
        <v>569</v>
      </c>
      <c r="X340" t="s">
        <v>569</v>
      </c>
      <c r="Y340" t="s">
        <v>569</v>
      </c>
      <c r="Z340" t="s">
        <v>569</v>
      </c>
      <c r="AA340" t="s">
        <v>569</v>
      </c>
      <c r="AB340">
        <v>50</v>
      </c>
      <c r="AC34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1" spans="1:29" x14ac:dyDescent="0.25">
      <c r="A341" t="s">
        <v>911</v>
      </c>
      <c r="B341" t="s">
        <v>533</v>
      </c>
      <c r="C341" t="s">
        <v>504</v>
      </c>
      <c r="D341" t="s">
        <v>501</v>
      </c>
      <c r="E341" t="s">
        <v>502</v>
      </c>
      <c r="F341" t="s">
        <v>569</v>
      </c>
      <c r="G341" t="s">
        <v>569</v>
      </c>
      <c r="H341" t="s">
        <v>569</v>
      </c>
      <c r="I341" t="s">
        <v>569</v>
      </c>
      <c r="J341" t="s">
        <v>569</v>
      </c>
      <c r="K341">
        <v>0</v>
      </c>
      <c r="L341" t="s">
        <v>569</v>
      </c>
      <c r="M341" t="s">
        <v>569</v>
      </c>
      <c r="N341" t="s">
        <v>569</v>
      </c>
      <c r="O341" t="s">
        <v>569</v>
      </c>
      <c r="P341" t="s">
        <v>569</v>
      </c>
      <c r="Q341" t="s">
        <v>569</v>
      </c>
      <c r="R341">
        <v>48.39085</v>
      </c>
      <c r="S341" t="s">
        <v>1213</v>
      </c>
      <c r="T341">
        <v>-123.71874800000001</v>
      </c>
      <c r="U341" t="s">
        <v>1206</v>
      </c>
      <c r="V341" t="s">
        <v>569</v>
      </c>
      <c r="W341" t="s">
        <v>569</v>
      </c>
      <c r="X341" t="s">
        <v>569</v>
      </c>
      <c r="Y341" t="s">
        <v>569</v>
      </c>
      <c r="Z341" t="s">
        <v>569</v>
      </c>
      <c r="AA341" t="s">
        <v>1229</v>
      </c>
      <c r="AB341">
        <v>50</v>
      </c>
      <c r="AC34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2" spans="1:29" x14ac:dyDescent="0.25">
      <c r="A342" t="s">
        <v>989</v>
      </c>
      <c r="B342" t="s">
        <v>533</v>
      </c>
      <c r="C342" t="s">
        <v>504</v>
      </c>
      <c r="D342" t="s">
        <v>501</v>
      </c>
      <c r="E342" t="s">
        <v>502</v>
      </c>
      <c r="F342" t="s">
        <v>569</v>
      </c>
      <c r="G342" t="s">
        <v>569</v>
      </c>
      <c r="H342" t="s">
        <v>569</v>
      </c>
      <c r="I342" t="s">
        <v>569</v>
      </c>
      <c r="J342" t="s">
        <v>569</v>
      </c>
      <c r="K342" t="s">
        <v>569</v>
      </c>
      <c r="L342" t="s">
        <v>569</v>
      </c>
      <c r="M342" t="s">
        <v>569</v>
      </c>
      <c r="N342" t="s">
        <v>569</v>
      </c>
      <c r="O342" t="s">
        <v>569</v>
      </c>
      <c r="P342" t="s">
        <v>569</v>
      </c>
      <c r="Q342" t="s">
        <v>569</v>
      </c>
      <c r="R342" s="4">
        <v>48.373153409630298</v>
      </c>
      <c r="S342" t="s">
        <v>1213</v>
      </c>
      <c r="T342" s="4">
        <v>-123.724684836924</v>
      </c>
      <c r="U342" t="s">
        <v>1206</v>
      </c>
      <c r="V342" t="s">
        <v>569</v>
      </c>
      <c r="W342" t="s">
        <v>569</v>
      </c>
      <c r="X342" t="s">
        <v>569</v>
      </c>
      <c r="Y342" t="s">
        <v>569</v>
      </c>
      <c r="Z342" t="s">
        <v>569</v>
      </c>
      <c r="AA342" t="s">
        <v>569</v>
      </c>
      <c r="AB342">
        <v>50</v>
      </c>
      <c r="AC34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3" spans="1:29" x14ac:dyDescent="0.25">
      <c r="A343" t="s">
        <v>815</v>
      </c>
      <c r="B343" t="s">
        <v>505</v>
      </c>
      <c r="C343" t="s">
        <v>504</v>
      </c>
      <c r="D343" t="s">
        <v>501</v>
      </c>
      <c r="E343" t="s">
        <v>502</v>
      </c>
      <c r="F343" t="s">
        <v>569</v>
      </c>
      <c r="G343" t="s">
        <v>569</v>
      </c>
      <c r="H343" t="s">
        <v>569</v>
      </c>
      <c r="I343" t="s">
        <v>569</v>
      </c>
      <c r="J343" t="s">
        <v>569</v>
      </c>
      <c r="K343">
        <v>0</v>
      </c>
      <c r="L343" t="s">
        <v>569</v>
      </c>
      <c r="M343" t="s">
        <v>569</v>
      </c>
      <c r="N343" t="s">
        <v>569</v>
      </c>
      <c r="O343" t="s">
        <v>569</v>
      </c>
      <c r="P343" t="s">
        <v>569</v>
      </c>
      <c r="Q343" t="s">
        <v>569</v>
      </c>
      <c r="R343">
        <v>48.470268079999997</v>
      </c>
      <c r="S343" t="s">
        <v>1213</v>
      </c>
      <c r="T343">
        <v>-123.4044725</v>
      </c>
      <c r="U343" t="s">
        <v>1206</v>
      </c>
      <c r="V343" t="s">
        <v>569</v>
      </c>
      <c r="W343" t="s">
        <v>569</v>
      </c>
      <c r="X343" t="s">
        <v>569</v>
      </c>
      <c r="Y343" t="s">
        <v>569</v>
      </c>
      <c r="Z343" t="s">
        <v>569</v>
      </c>
      <c r="AA343" t="s">
        <v>1229</v>
      </c>
      <c r="AB343">
        <v>50</v>
      </c>
      <c r="AC34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4" spans="1:29" x14ac:dyDescent="0.25">
      <c r="A344" t="s">
        <v>647</v>
      </c>
      <c r="B344" t="s">
        <v>533</v>
      </c>
      <c r="C344" t="s">
        <v>504</v>
      </c>
      <c r="D344" t="s">
        <v>501</v>
      </c>
      <c r="E344" t="s">
        <v>502</v>
      </c>
      <c r="F344" t="s">
        <v>569</v>
      </c>
      <c r="G344" t="s">
        <v>569</v>
      </c>
      <c r="H344" t="s">
        <v>569</v>
      </c>
      <c r="I344" t="s">
        <v>569</v>
      </c>
      <c r="J344" t="s">
        <v>569</v>
      </c>
      <c r="K344">
        <v>0</v>
      </c>
      <c r="L344" t="s">
        <v>569</v>
      </c>
      <c r="M344" t="s">
        <v>569</v>
      </c>
      <c r="N344" t="s">
        <v>569</v>
      </c>
      <c r="O344" t="s">
        <v>569</v>
      </c>
      <c r="P344" t="s">
        <v>569</v>
      </c>
      <c r="Q344" t="s">
        <v>569</v>
      </c>
      <c r="R344">
        <v>48.388338500000003</v>
      </c>
      <c r="S344" t="s">
        <v>1213</v>
      </c>
      <c r="T344">
        <v>-123.6964095</v>
      </c>
      <c r="U344" t="s">
        <v>1206</v>
      </c>
      <c r="V344" t="s">
        <v>569</v>
      </c>
      <c r="W344" t="s">
        <v>569</v>
      </c>
      <c r="X344" t="s">
        <v>569</v>
      </c>
      <c r="Y344" t="s">
        <v>569</v>
      </c>
      <c r="Z344" t="s">
        <v>569</v>
      </c>
      <c r="AA344" t="s">
        <v>1229</v>
      </c>
      <c r="AB344">
        <v>50</v>
      </c>
      <c r="AC34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5" spans="1:29" x14ac:dyDescent="0.25">
      <c r="A345" t="s">
        <v>632</v>
      </c>
      <c r="B345" t="s">
        <v>631</v>
      </c>
      <c r="C345" t="s">
        <v>504</v>
      </c>
      <c r="D345" t="s">
        <v>501</v>
      </c>
      <c r="E345" t="s">
        <v>502</v>
      </c>
      <c r="F345" t="s">
        <v>569</v>
      </c>
      <c r="G345" t="s">
        <v>569</v>
      </c>
      <c r="H345" t="s">
        <v>569</v>
      </c>
      <c r="I345" t="s">
        <v>569</v>
      </c>
      <c r="J345" t="s">
        <v>569</v>
      </c>
      <c r="K345">
        <v>0</v>
      </c>
      <c r="L345" t="s">
        <v>569</v>
      </c>
      <c r="M345" t="s">
        <v>569</v>
      </c>
      <c r="N345" t="s">
        <v>569</v>
      </c>
      <c r="O345" t="s">
        <v>569</v>
      </c>
      <c r="P345" t="s">
        <v>569</v>
      </c>
      <c r="Q345" t="s">
        <v>569</v>
      </c>
      <c r="R345">
        <v>50.041376069999998</v>
      </c>
      <c r="S345" t="s">
        <v>1213</v>
      </c>
      <c r="T345">
        <v>-125.32005789999999</v>
      </c>
      <c r="U345" t="s">
        <v>1206</v>
      </c>
      <c r="V345" t="s">
        <v>569</v>
      </c>
      <c r="W345" t="s">
        <v>569</v>
      </c>
      <c r="X345" t="s">
        <v>569</v>
      </c>
      <c r="Y345" t="s">
        <v>569</v>
      </c>
      <c r="Z345" t="s">
        <v>569</v>
      </c>
      <c r="AA345" t="s">
        <v>1229</v>
      </c>
      <c r="AB345">
        <v>50</v>
      </c>
      <c r="AC34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6" spans="1:29" x14ac:dyDescent="0.25">
      <c r="A346" t="s">
        <v>530</v>
      </c>
      <c r="B346" t="s">
        <v>505</v>
      </c>
      <c r="C346" t="s">
        <v>504</v>
      </c>
      <c r="D346" t="s">
        <v>501</v>
      </c>
      <c r="E346" t="s">
        <v>502</v>
      </c>
      <c r="F346" t="s">
        <v>569</v>
      </c>
      <c r="G346" t="s">
        <v>569</v>
      </c>
      <c r="H346" t="s">
        <v>569</v>
      </c>
      <c r="I346" t="s">
        <v>569</v>
      </c>
      <c r="J346" t="s">
        <v>569</v>
      </c>
      <c r="K346">
        <v>0</v>
      </c>
      <c r="L346" t="s">
        <v>569</v>
      </c>
      <c r="M346" t="s">
        <v>569</v>
      </c>
      <c r="N346" t="s">
        <v>569</v>
      </c>
      <c r="O346" t="s">
        <v>569</v>
      </c>
      <c r="P346" t="s">
        <v>569</v>
      </c>
      <c r="Q346" t="s">
        <v>569</v>
      </c>
      <c r="R346">
        <v>48.53470927</v>
      </c>
      <c r="S346" t="s">
        <v>1213</v>
      </c>
      <c r="T346">
        <v>-123.3901012</v>
      </c>
      <c r="U346" t="s">
        <v>1206</v>
      </c>
      <c r="V346" t="s">
        <v>569</v>
      </c>
      <c r="W346" t="s">
        <v>569</v>
      </c>
      <c r="X346" t="s">
        <v>569</v>
      </c>
      <c r="Y346" t="s">
        <v>569</v>
      </c>
      <c r="Z346" t="s">
        <v>569</v>
      </c>
      <c r="AA346" t="s">
        <v>1229</v>
      </c>
      <c r="AB346">
        <v>50</v>
      </c>
      <c r="AC34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7" spans="1:29" x14ac:dyDescent="0.25">
      <c r="A347" t="s">
        <v>1500</v>
      </c>
      <c r="B347" t="s">
        <v>533</v>
      </c>
      <c r="C347" t="s">
        <v>504</v>
      </c>
      <c r="D347" t="s">
        <v>501</v>
      </c>
      <c r="E347" t="s">
        <v>502</v>
      </c>
      <c r="F347" t="s">
        <v>569</v>
      </c>
      <c r="G347" t="s">
        <v>569</v>
      </c>
      <c r="H347" t="s">
        <v>569</v>
      </c>
      <c r="I347" t="s">
        <v>569</v>
      </c>
      <c r="J347" t="s">
        <v>569</v>
      </c>
      <c r="K347" t="s">
        <v>569</v>
      </c>
      <c r="L347" t="s">
        <v>569</v>
      </c>
      <c r="M347" t="s">
        <v>569</v>
      </c>
      <c r="N347" t="s">
        <v>569</v>
      </c>
      <c r="O347" t="s">
        <v>569</v>
      </c>
      <c r="P347" t="s">
        <v>569</v>
      </c>
      <c r="Q347" t="s">
        <v>569</v>
      </c>
      <c r="R347" t="s">
        <v>569</v>
      </c>
      <c r="S347" t="s">
        <v>569</v>
      </c>
      <c r="T347" t="s">
        <v>569</v>
      </c>
      <c r="U347" t="s">
        <v>569</v>
      </c>
      <c r="V347" t="s">
        <v>569</v>
      </c>
      <c r="W347" t="s">
        <v>569</v>
      </c>
      <c r="X347" t="s">
        <v>569</v>
      </c>
      <c r="Y347" t="s">
        <v>569</v>
      </c>
      <c r="Z347" t="s">
        <v>569</v>
      </c>
      <c r="AA347" t="s">
        <v>569</v>
      </c>
      <c r="AB347">
        <v>50</v>
      </c>
      <c r="AC34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8" spans="1:29" x14ac:dyDescent="0.25">
      <c r="A348" t="s">
        <v>650</v>
      </c>
      <c r="B348" t="s">
        <v>505</v>
      </c>
      <c r="C348" t="s">
        <v>504</v>
      </c>
      <c r="D348" t="s">
        <v>501</v>
      </c>
      <c r="E348" t="s">
        <v>502</v>
      </c>
      <c r="F348" t="s">
        <v>569</v>
      </c>
      <c r="G348" t="s">
        <v>569</v>
      </c>
      <c r="H348" t="s">
        <v>569</v>
      </c>
      <c r="I348" t="s">
        <v>569</v>
      </c>
      <c r="J348" t="s">
        <v>569</v>
      </c>
      <c r="K348">
        <v>0</v>
      </c>
      <c r="L348" t="s">
        <v>569</v>
      </c>
      <c r="M348" t="s">
        <v>569</v>
      </c>
      <c r="N348" t="s">
        <v>569</v>
      </c>
      <c r="O348" t="s">
        <v>569</v>
      </c>
      <c r="P348" t="s">
        <v>569</v>
      </c>
      <c r="Q348" t="s">
        <v>569</v>
      </c>
      <c r="R348">
        <v>48.421258620000003</v>
      </c>
      <c r="S348" t="s">
        <v>1213</v>
      </c>
      <c r="T348">
        <v>-123.3668062</v>
      </c>
      <c r="U348" t="s">
        <v>1206</v>
      </c>
      <c r="V348" t="s">
        <v>569</v>
      </c>
      <c r="W348" t="s">
        <v>569</v>
      </c>
      <c r="X348" t="s">
        <v>569</v>
      </c>
      <c r="Y348" t="s">
        <v>569</v>
      </c>
      <c r="Z348" t="s">
        <v>569</v>
      </c>
      <c r="AA348" t="s">
        <v>1229</v>
      </c>
      <c r="AB348">
        <v>50</v>
      </c>
      <c r="AC3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49" spans="1:29" x14ac:dyDescent="0.25">
      <c r="A349" t="s">
        <v>979</v>
      </c>
      <c r="B349" t="s">
        <v>978</v>
      </c>
      <c r="C349" t="s">
        <v>505</v>
      </c>
      <c r="D349" t="s">
        <v>522</v>
      </c>
      <c r="E349" t="s">
        <v>523</v>
      </c>
      <c r="F349" t="s">
        <v>569</v>
      </c>
      <c r="G349" t="s">
        <v>569</v>
      </c>
      <c r="H349" t="s">
        <v>569</v>
      </c>
      <c r="I349" t="s">
        <v>569</v>
      </c>
      <c r="J349" t="s">
        <v>569</v>
      </c>
      <c r="K349">
        <v>0</v>
      </c>
      <c r="L349" t="s">
        <v>569</v>
      </c>
      <c r="M349" t="s">
        <v>569</v>
      </c>
      <c r="N349" t="s">
        <v>569</v>
      </c>
      <c r="O349" t="s">
        <v>569</v>
      </c>
      <c r="P349" t="s">
        <v>569</v>
      </c>
      <c r="Q349" t="s">
        <v>569</v>
      </c>
      <c r="R349">
        <v>-38.359099530000002</v>
      </c>
      <c r="S349" t="s">
        <v>1111</v>
      </c>
      <c r="T349">
        <v>144.9531676</v>
      </c>
      <c r="U349" t="s">
        <v>1201</v>
      </c>
      <c r="V349" t="s">
        <v>569</v>
      </c>
      <c r="W349" t="s">
        <v>569</v>
      </c>
      <c r="X349" t="s">
        <v>569</v>
      </c>
      <c r="Y349" t="s">
        <v>569</v>
      </c>
      <c r="Z349" t="s">
        <v>569</v>
      </c>
      <c r="AA349" t="s">
        <v>1230</v>
      </c>
      <c r="AB349">
        <v>50</v>
      </c>
      <c r="AC3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0" spans="1:29" x14ac:dyDescent="0.25">
      <c r="A350" t="s">
        <v>645</v>
      </c>
      <c r="B350" t="s">
        <v>640</v>
      </c>
      <c r="C350" t="s">
        <v>504</v>
      </c>
      <c r="D350" t="s">
        <v>501</v>
      </c>
      <c r="E350" t="s">
        <v>502</v>
      </c>
      <c r="F350" t="s">
        <v>569</v>
      </c>
      <c r="G350" t="s">
        <v>569</v>
      </c>
      <c r="H350" t="s">
        <v>569</v>
      </c>
      <c r="I350" t="s">
        <v>569</v>
      </c>
      <c r="J350" t="s">
        <v>569</v>
      </c>
      <c r="K350">
        <v>0</v>
      </c>
      <c r="L350" t="s">
        <v>569</v>
      </c>
      <c r="M350" t="s">
        <v>569</v>
      </c>
      <c r="N350" t="s">
        <v>569</v>
      </c>
      <c r="O350" t="s">
        <v>569</v>
      </c>
      <c r="P350" t="s">
        <v>569</v>
      </c>
      <c r="Q350" t="s">
        <v>569</v>
      </c>
      <c r="R350">
        <v>49.245298759999997</v>
      </c>
      <c r="S350" t="s">
        <v>1213</v>
      </c>
      <c r="T350">
        <v>-124.35019250000001</v>
      </c>
      <c r="U350" t="s">
        <v>1206</v>
      </c>
      <c r="V350" t="s">
        <v>569</v>
      </c>
      <c r="W350" t="s">
        <v>569</v>
      </c>
      <c r="X350" t="s">
        <v>569</v>
      </c>
      <c r="Y350" t="s">
        <v>569</v>
      </c>
      <c r="Z350" t="s">
        <v>569</v>
      </c>
      <c r="AA350" t="s">
        <v>1229</v>
      </c>
      <c r="AB350">
        <v>50</v>
      </c>
      <c r="AC35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1" spans="1:29" x14ac:dyDescent="0.25">
      <c r="A351" t="s">
        <v>640</v>
      </c>
      <c r="B351" t="s">
        <v>640</v>
      </c>
      <c r="C351" t="s">
        <v>504</v>
      </c>
      <c r="D351" t="s">
        <v>501</v>
      </c>
      <c r="E351" t="s">
        <v>502</v>
      </c>
      <c r="F351" t="s">
        <v>569</v>
      </c>
      <c r="G351" t="s">
        <v>569</v>
      </c>
      <c r="H351" t="s">
        <v>569</v>
      </c>
      <c r="I351" t="s">
        <v>569</v>
      </c>
      <c r="J351" t="s">
        <v>569</v>
      </c>
      <c r="K351">
        <v>0</v>
      </c>
      <c r="L351" t="s">
        <v>569</v>
      </c>
      <c r="M351" t="s">
        <v>569</v>
      </c>
      <c r="N351" t="s">
        <v>569</v>
      </c>
      <c r="O351" t="s">
        <v>569</v>
      </c>
      <c r="P351" t="s">
        <v>569</v>
      </c>
      <c r="Q351" t="s">
        <v>569</v>
      </c>
      <c r="R351">
        <v>49.245592930000001</v>
      </c>
      <c r="S351" t="s">
        <v>1213</v>
      </c>
      <c r="T351">
        <v>-124.35021399999999</v>
      </c>
      <c r="U351" t="s">
        <v>1206</v>
      </c>
      <c r="V351" t="s">
        <v>569</v>
      </c>
      <c r="W351" t="s">
        <v>569</v>
      </c>
      <c r="X351" t="s">
        <v>569</v>
      </c>
      <c r="Y351" t="s">
        <v>569</v>
      </c>
      <c r="Z351" t="s">
        <v>569</v>
      </c>
      <c r="AA351" t="s">
        <v>1230</v>
      </c>
      <c r="AB351">
        <v>50</v>
      </c>
      <c r="AC35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2" spans="1:29" x14ac:dyDescent="0.25">
      <c r="A352" t="s">
        <v>945</v>
      </c>
      <c r="B352" t="s">
        <v>943</v>
      </c>
      <c r="C352" t="s">
        <v>707</v>
      </c>
      <c r="D352" t="s">
        <v>522</v>
      </c>
      <c r="E352" t="s">
        <v>523</v>
      </c>
      <c r="F352" t="s">
        <v>569</v>
      </c>
      <c r="G352" t="s">
        <v>569</v>
      </c>
      <c r="H352" t="s">
        <v>569</v>
      </c>
      <c r="I352" t="s">
        <v>569</v>
      </c>
      <c r="J352" t="s">
        <v>569</v>
      </c>
      <c r="K352">
        <v>0</v>
      </c>
      <c r="L352" t="s">
        <v>569</v>
      </c>
      <c r="M352" t="s">
        <v>569</v>
      </c>
      <c r="N352" t="s">
        <v>569</v>
      </c>
      <c r="O352" t="s">
        <v>569</v>
      </c>
      <c r="P352" t="s">
        <v>569</v>
      </c>
      <c r="Q352" t="s">
        <v>569</v>
      </c>
      <c r="R352">
        <v>-16.918552420000001</v>
      </c>
      <c r="S352" t="s">
        <v>1111</v>
      </c>
      <c r="T352">
        <v>145.7765004</v>
      </c>
      <c r="U352" t="s">
        <v>1201</v>
      </c>
      <c r="V352" t="s">
        <v>569</v>
      </c>
      <c r="W352" t="s">
        <v>569</v>
      </c>
      <c r="X352" t="s">
        <v>569</v>
      </c>
      <c r="Y352" t="s">
        <v>569</v>
      </c>
      <c r="Z352" t="s">
        <v>569</v>
      </c>
      <c r="AA352" t="s">
        <v>1229</v>
      </c>
      <c r="AB352">
        <v>50</v>
      </c>
      <c r="AC35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3" spans="1:29" x14ac:dyDescent="0.25">
      <c r="A353" t="s">
        <v>830</v>
      </c>
      <c r="B353" t="s">
        <v>820</v>
      </c>
      <c r="C353" t="s">
        <v>504</v>
      </c>
      <c r="D353" t="s">
        <v>501</v>
      </c>
      <c r="E353" t="s">
        <v>502</v>
      </c>
      <c r="F353" t="s">
        <v>569</v>
      </c>
      <c r="G353" t="s">
        <v>569</v>
      </c>
      <c r="H353" t="s">
        <v>569</v>
      </c>
      <c r="I353" t="s">
        <v>569</v>
      </c>
      <c r="J353" t="s">
        <v>569</v>
      </c>
      <c r="K353">
        <v>0</v>
      </c>
      <c r="L353" t="s">
        <v>569</v>
      </c>
      <c r="M353" t="s">
        <v>569</v>
      </c>
      <c r="N353" t="s">
        <v>569</v>
      </c>
      <c r="O353" t="s">
        <v>569</v>
      </c>
      <c r="P353" t="s">
        <v>569</v>
      </c>
      <c r="Q353" t="s">
        <v>569</v>
      </c>
      <c r="R353">
        <v>48.42938565</v>
      </c>
      <c r="S353" t="s">
        <v>1213</v>
      </c>
      <c r="T353">
        <v>-123.4151316</v>
      </c>
      <c r="U353" t="s">
        <v>1206</v>
      </c>
      <c r="V353" t="s">
        <v>569</v>
      </c>
      <c r="W353" t="s">
        <v>569</v>
      </c>
      <c r="X353" t="s">
        <v>569</v>
      </c>
      <c r="Y353" t="s">
        <v>569</v>
      </c>
      <c r="Z353" t="s">
        <v>569</v>
      </c>
      <c r="AA353" t="s">
        <v>1229</v>
      </c>
      <c r="AB353">
        <v>50</v>
      </c>
      <c r="AC3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4" spans="1:29" x14ac:dyDescent="0.25">
      <c r="A354" t="s">
        <v>984</v>
      </c>
      <c r="B354" t="s">
        <v>505</v>
      </c>
      <c r="C354" t="s">
        <v>504</v>
      </c>
      <c r="D354" t="s">
        <v>501</v>
      </c>
      <c r="E354" t="s">
        <v>502</v>
      </c>
      <c r="F354" t="s">
        <v>569</v>
      </c>
      <c r="G354" t="s">
        <v>569</v>
      </c>
      <c r="H354" t="s">
        <v>569</v>
      </c>
      <c r="I354" t="s">
        <v>569</v>
      </c>
      <c r="J354">
        <v>3.6943778310000002</v>
      </c>
      <c r="K354">
        <v>0</v>
      </c>
      <c r="L354">
        <v>319.38131700000002</v>
      </c>
      <c r="M354" t="s">
        <v>1204</v>
      </c>
      <c r="N354" t="s">
        <v>569</v>
      </c>
      <c r="O354">
        <v>6.000906208</v>
      </c>
      <c r="P354">
        <v>319.38131700000002</v>
      </c>
      <c r="Q354" t="s">
        <v>1204</v>
      </c>
      <c r="R354">
        <v>48.42549167</v>
      </c>
      <c r="S354" t="s">
        <v>1213</v>
      </c>
      <c r="T354">
        <v>-123.462975</v>
      </c>
      <c r="U354" t="s">
        <v>1206</v>
      </c>
      <c r="V354" t="s">
        <v>569</v>
      </c>
      <c r="W354" t="s">
        <v>569</v>
      </c>
      <c r="X354">
        <v>7.9348115999999996E-2</v>
      </c>
      <c r="Y354" t="s">
        <v>1214</v>
      </c>
      <c r="Z354" t="s">
        <v>569</v>
      </c>
      <c r="AA354" t="s">
        <v>1229</v>
      </c>
      <c r="AB354">
        <v>50</v>
      </c>
      <c r="AC3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5" spans="1:29" x14ac:dyDescent="0.25">
      <c r="A355" t="s">
        <v>846</v>
      </c>
      <c r="B355" t="s">
        <v>820</v>
      </c>
      <c r="C355" t="s">
        <v>504</v>
      </c>
      <c r="D355" t="s">
        <v>501</v>
      </c>
      <c r="E355" t="s">
        <v>502</v>
      </c>
      <c r="F355" t="s">
        <v>569</v>
      </c>
      <c r="G355" t="s">
        <v>569</v>
      </c>
      <c r="H355" t="s">
        <v>569</v>
      </c>
      <c r="I355" t="s">
        <v>569</v>
      </c>
      <c r="J355" t="s">
        <v>569</v>
      </c>
      <c r="K355">
        <v>0</v>
      </c>
      <c r="L355" t="s">
        <v>569</v>
      </c>
      <c r="M355" t="s">
        <v>569</v>
      </c>
      <c r="N355" t="s">
        <v>569</v>
      </c>
      <c r="O355" t="s">
        <v>569</v>
      </c>
      <c r="P355" t="s">
        <v>569</v>
      </c>
      <c r="Q355" t="s">
        <v>569</v>
      </c>
      <c r="R355">
        <v>48.428716459999997</v>
      </c>
      <c r="S355" t="s">
        <v>1213</v>
      </c>
      <c r="T355">
        <v>-123.412621</v>
      </c>
      <c r="U355" t="s">
        <v>1206</v>
      </c>
      <c r="V355" t="s">
        <v>569</v>
      </c>
      <c r="W355" t="s">
        <v>569</v>
      </c>
      <c r="X355" t="s">
        <v>569</v>
      </c>
      <c r="Y355" t="s">
        <v>569</v>
      </c>
      <c r="Z355" t="s">
        <v>569</v>
      </c>
      <c r="AA355" t="s">
        <v>1229</v>
      </c>
      <c r="AB355">
        <v>50</v>
      </c>
      <c r="AC35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6" spans="1:29" x14ac:dyDescent="0.25">
      <c r="A356" t="s">
        <v>821</v>
      </c>
      <c r="B356" t="s">
        <v>820</v>
      </c>
      <c r="C356" t="s">
        <v>504</v>
      </c>
      <c r="D356" t="s">
        <v>501</v>
      </c>
      <c r="E356" t="s">
        <v>502</v>
      </c>
      <c r="F356" t="s">
        <v>569</v>
      </c>
      <c r="G356" t="s">
        <v>569</v>
      </c>
      <c r="H356" t="s">
        <v>569</v>
      </c>
      <c r="I356" t="s">
        <v>569</v>
      </c>
      <c r="J356" t="s">
        <v>569</v>
      </c>
      <c r="K356">
        <v>0</v>
      </c>
      <c r="L356" t="s">
        <v>569</v>
      </c>
      <c r="M356" t="s">
        <v>569</v>
      </c>
      <c r="N356" t="s">
        <v>569</v>
      </c>
      <c r="O356" t="s">
        <v>569</v>
      </c>
      <c r="P356" t="s">
        <v>569</v>
      </c>
      <c r="Q356" t="s">
        <v>569</v>
      </c>
      <c r="R356">
        <v>48.430816559999997</v>
      </c>
      <c r="S356" t="s">
        <v>1213</v>
      </c>
      <c r="T356">
        <v>-123.40033649999999</v>
      </c>
      <c r="U356" t="s">
        <v>1206</v>
      </c>
      <c r="V356" t="s">
        <v>569</v>
      </c>
      <c r="W356" t="s">
        <v>569</v>
      </c>
      <c r="X356" t="s">
        <v>569</v>
      </c>
      <c r="Y356" t="s">
        <v>569</v>
      </c>
      <c r="Z356" t="s">
        <v>569</v>
      </c>
      <c r="AA356" t="s">
        <v>1229</v>
      </c>
      <c r="AB356">
        <v>50</v>
      </c>
      <c r="AC3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7" spans="1:29" x14ac:dyDescent="0.25">
      <c r="A357" t="s">
        <v>955</v>
      </c>
      <c r="B357" t="s">
        <v>954</v>
      </c>
      <c r="C357" t="s">
        <v>505</v>
      </c>
      <c r="D357" t="s">
        <v>522</v>
      </c>
      <c r="E357" t="s">
        <v>523</v>
      </c>
      <c r="F357" t="s">
        <v>569</v>
      </c>
      <c r="G357" t="s">
        <v>569</v>
      </c>
      <c r="H357" t="s">
        <v>569</v>
      </c>
      <c r="I357" t="s">
        <v>569</v>
      </c>
      <c r="J357" t="s">
        <v>569</v>
      </c>
      <c r="K357">
        <v>0</v>
      </c>
      <c r="L357" t="s">
        <v>569</v>
      </c>
      <c r="M357" t="s">
        <v>569</v>
      </c>
      <c r="N357" t="s">
        <v>569</v>
      </c>
      <c r="O357" t="s">
        <v>569</v>
      </c>
      <c r="P357" t="s">
        <v>569</v>
      </c>
      <c r="Q357" t="s">
        <v>569</v>
      </c>
      <c r="R357">
        <v>-37.821315599999998</v>
      </c>
      <c r="S357" t="s">
        <v>1111</v>
      </c>
      <c r="T357">
        <v>144.964698</v>
      </c>
      <c r="U357" t="s">
        <v>1201</v>
      </c>
      <c r="V357" t="s">
        <v>569</v>
      </c>
      <c r="W357" t="s">
        <v>569</v>
      </c>
      <c r="X357" t="s">
        <v>569</v>
      </c>
      <c r="Y357" t="s">
        <v>569</v>
      </c>
      <c r="Z357" t="s">
        <v>569</v>
      </c>
      <c r="AA357" t="s">
        <v>1229</v>
      </c>
      <c r="AB357">
        <v>50</v>
      </c>
      <c r="AC3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8" spans="1:29" x14ac:dyDescent="0.25">
      <c r="A358" t="s">
        <v>739</v>
      </c>
      <c r="B358" t="s">
        <v>726</v>
      </c>
      <c r="C358" t="s">
        <v>728</v>
      </c>
      <c r="D358" t="s">
        <v>652</v>
      </c>
      <c r="E358" t="s">
        <v>653</v>
      </c>
      <c r="F358" t="s">
        <v>569</v>
      </c>
      <c r="G358" t="s">
        <v>569</v>
      </c>
      <c r="H358" t="s">
        <v>569</v>
      </c>
      <c r="I358" t="s">
        <v>569</v>
      </c>
      <c r="J358" t="s">
        <v>569</v>
      </c>
      <c r="K358">
        <v>0</v>
      </c>
      <c r="L358" t="s">
        <v>569</v>
      </c>
      <c r="M358" t="s">
        <v>569</v>
      </c>
      <c r="N358" t="s">
        <v>569</v>
      </c>
      <c r="O358" t="s">
        <v>569</v>
      </c>
      <c r="P358" t="s">
        <v>569</v>
      </c>
      <c r="Q358" t="s">
        <v>569</v>
      </c>
      <c r="R358">
        <v>47.621221290000001</v>
      </c>
      <c r="S358" t="s">
        <v>1213</v>
      </c>
      <c r="T358">
        <v>-122.34950739999999</v>
      </c>
      <c r="U358" t="s">
        <v>1206</v>
      </c>
      <c r="V358" t="s">
        <v>569</v>
      </c>
      <c r="W358" t="s">
        <v>569</v>
      </c>
      <c r="X358" t="s">
        <v>569</v>
      </c>
      <c r="Y358" t="s">
        <v>569</v>
      </c>
      <c r="Z358" s="9">
        <v>0</v>
      </c>
      <c r="AA358" t="s">
        <v>1229</v>
      </c>
      <c r="AB358">
        <v>50</v>
      </c>
      <c r="AC3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59" spans="1:29" x14ac:dyDescent="0.25">
      <c r="A359" t="s">
        <v>1395</v>
      </c>
      <c r="B359" t="s">
        <v>513</v>
      </c>
      <c r="C359" t="s">
        <v>504</v>
      </c>
      <c r="D359" t="s">
        <v>501</v>
      </c>
      <c r="E359" t="s">
        <v>502</v>
      </c>
      <c r="F359" t="s">
        <v>569</v>
      </c>
      <c r="G359" t="s">
        <v>569</v>
      </c>
      <c r="H359" t="s">
        <v>569</v>
      </c>
      <c r="I359" t="s">
        <v>569</v>
      </c>
      <c r="J359" t="s">
        <v>569</v>
      </c>
      <c r="K359" t="s">
        <v>569</v>
      </c>
      <c r="L359" t="s">
        <v>569</v>
      </c>
      <c r="M359" t="s">
        <v>569</v>
      </c>
      <c r="N359" t="s">
        <v>569</v>
      </c>
      <c r="O359" t="s">
        <v>569</v>
      </c>
      <c r="P359" t="s">
        <v>569</v>
      </c>
      <c r="Q359" t="s">
        <v>569</v>
      </c>
      <c r="R359" t="s">
        <v>569</v>
      </c>
      <c r="S359" t="s">
        <v>569</v>
      </c>
      <c r="T359" t="s">
        <v>569</v>
      </c>
      <c r="U359" t="s">
        <v>569</v>
      </c>
      <c r="V359" t="s">
        <v>569</v>
      </c>
      <c r="W359" t="s">
        <v>569</v>
      </c>
      <c r="X359" t="s">
        <v>569</v>
      </c>
      <c r="Y359" t="s">
        <v>569</v>
      </c>
      <c r="Z359" t="s">
        <v>569</v>
      </c>
      <c r="AA359" t="s">
        <v>569</v>
      </c>
      <c r="AB359">
        <v>50</v>
      </c>
      <c r="AC35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0" spans="1:29" x14ac:dyDescent="0.25">
      <c r="A360" t="s">
        <v>630</v>
      </c>
      <c r="B360" t="s">
        <v>505</v>
      </c>
      <c r="C360" t="s">
        <v>504</v>
      </c>
      <c r="D360" t="s">
        <v>501</v>
      </c>
      <c r="E360" t="s">
        <v>502</v>
      </c>
      <c r="F360" t="s">
        <v>569</v>
      </c>
      <c r="G360" t="s">
        <v>569</v>
      </c>
      <c r="H360" t="s">
        <v>569</v>
      </c>
      <c r="I360" t="s">
        <v>569</v>
      </c>
      <c r="J360" t="s">
        <v>569</v>
      </c>
      <c r="K360">
        <v>0</v>
      </c>
      <c r="L360" t="s">
        <v>569</v>
      </c>
      <c r="M360" t="s">
        <v>569</v>
      </c>
      <c r="N360" t="s">
        <v>569</v>
      </c>
      <c r="O360" t="s">
        <v>569</v>
      </c>
      <c r="P360" t="s">
        <v>569</v>
      </c>
      <c r="Q360" t="s">
        <v>569</v>
      </c>
      <c r="R360">
        <v>48.42157546</v>
      </c>
      <c r="S360" t="s">
        <v>1213</v>
      </c>
      <c r="T360">
        <v>-123.3677369</v>
      </c>
      <c r="U360" t="s">
        <v>1206</v>
      </c>
      <c r="V360" t="s">
        <v>569</v>
      </c>
      <c r="W360" t="s">
        <v>569</v>
      </c>
      <c r="X360" t="s">
        <v>569</v>
      </c>
      <c r="Y360" t="s">
        <v>569</v>
      </c>
      <c r="Z360" t="s">
        <v>569</v>
      </c>
      <c r="AA360" t="s">
        <v>1229</v>
      </c>
      <c r="AB360">
        <v>50</v>
      </c>
      <c r="AC36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1" spans="1:29" x14ac:dyDescent="0.25">
      <c r="A361" t="s">
        <v>1400</v>
      </c>
      <c r="B361" t="s">
        <v>513</v>
      </c>
      <c r="C361" t="s">
        <v>504</v>
      </c>
      <c r="D361" t="s">
        <v>501</v>
      </c>
      <c r="E361" t="s">
        <v>502</v>
      </c>
      <c r="F361" t="s">
        <v>569</v>
      </c>
      <c r="G361" t="s">
        <v>569</v>
      </c>
      <c r="H361" t="s">
        <v>569</v>
      </c>
      <c r="I361" t="s">
        <v>569</v>
      </c>
      <c r="J361" t="s">
        <v>569</v>
      </c>
      <c r="K361" t="s">
        <v>569</v>
      </c>
      <c r="L361" t="s">
        <v>569</v>
      </c>
      <c r="M361" t="s">
        <v>569</v>
      </c>
      <c r="N361" t="s">
        <v>569</v>
      </c>
      <c r="O361" t="s">
        <v>569</v>
      </c>
      <c r="P361" t="s">
        <v>569</v>
      </c>
      <c r="Q361" t="s">
        <v>569</v>
      </c>
      <c r="R361" t="s">
        <v>569</v>
      </c>
      <c r="S361" t="s">
        <v>569</v>
      </c>
      <c r="T361" t="s">
        <v>569</v>
      </c>
      <c r="U361" t="s">
        <v>569</v>
      </c>
      <c r="V361" t="s">
        <v>569</v>
      </c>
      <c r="W361" t="s">
        <v>569</v>
      </c>
      <c r="X361" t="s">
        <v>569</v>
      </c>
      <c r="Y361" t="s">
        <v>569</v>
      </c>
      <c r="Z361" t="s">
        <v>569</v>
      </c>
      <c r="AA361" t="s">
        <v>569</v>
      </c>
      <c r="AB361">
        <v>50</v>
      </c>
      <c r="AC36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2" spans="1:29" x14ac:dyDescent="0.25">
      <c r="A362" t="s">
        <v>959</v>
      </c>
      <c r="B362" t="s">
        <v>954</v>
      </c>
      <c r="C362" t="s">
        <v>505</v>
      </c>
      <c r="D362" t="s">
        <v>522</v>
      </c>
      <c r="E362" t="s">
        <v>523</v>
      </c>
      <c r="F362" t="s">
        <v>569</v>
      </c>
      <c r="G362" t="s">
        <v>569</v>
      </c>
      <c r="H362" t="s">
        <v>569</v>
      </c>
      <c r="I362" t="s">
        <v>569</v>
      </c>
      <c r="J362" t="s">
        <v>569</v>
      </c>
      <c r="K362">
        <v>0</v>
      </c>
      <c r="L362" t="s">
        <v>569</v>
      </c>
      <c r="M362" t="s">
        <v>569</v>
      </c>
      <c r="N362" t="s">
        <v>569</v>
      </c>
      <c r="O362" t="s">
        <v>569</v>
      </c>
      <c r="P362" t="s">
        <v>569</v>
      </c>
      <c r="Q362" t="s">
        <v>569</v>
      </c>
      <c r="R362">
        <v>-37.819699229999998</v>
      </c>
      <c r="S362" t="s">
        <v>1111</v>
      </c>
      <c r="T362">
        <v>144.96776729999999</v>
      </c>
      <c r="U362" t="s">
        <v>1201</v>
      </c>
      <c r="V362" t="s">
        <v>569</v>
      </c>
      <c r="W362" t="s">
        <v>569</v>
      </c>
      <c r="X362" t="s">
        <v>569</v>
      </c>
      <c r="Y362" t="s">
        <v>569</v>
      </c>
      <c r="Z362" t="s">
        <v>569</v>
      </c>
      <c r="AA362" t="s">
        <v>1229</v>
      </c>
      <c r="AB362">
        <v>50</v>
      </c>
      <c r="AC3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3" spans="1:29" x14ac:dyDescent="0.25">
      <c r="A363" t="s">
        <v>556</v>
      </c>
      <c r="B363" t="s">
        <v>572</v>
      </c>
      <c r="C363" t="s">
        <v>504</v>
      </c>
      <c r="D363" t="s">
        <v>501</v>
      </c>
      <c r="E363" t="s">
        <v>502</v>
      </c>
      <c r="F363" t="s">
        <v>569</v>
      </c>
      <c r="G363" t="s">
        <v>569</v>
      </c>
      <c r="H363" t="s">
        <v>569</v>
      </c>
      <c r="I363" t="s">
        <v>569</v>
      </c>
      <c r="J363" t="s">
        <v>569</v>
      </c>
      <c r="K363">
        <v>0</v>
      </c>
      <c r="L363" t="s">
        <v>569</v>
      </c>
      <c r="M363" t="s">
        <v>569</v>
      </c>
      <c r="N363" t="s">
        <v>569</v>
      </c>
      <c r="O363" t="s">
        <v>569</v>
      </c>
      <c r="P363" t="s">
        <v>569</v>
      </c>
      <c r="Q363" t="s">
        <v>569</v>
      </c>
      <c r="R363">
        <v>48.731511589999997</v>
      </c>
      <c r="S363" t="s">
        <v>1213</v>
      </c>
      <c r="T363">
        <v>-123.4173203</v>
      </c>
      <c r="U363" t="s">
        <v>1206</v>
      </c>
      <c r="V363" t="s">
        <v>569</v>
      </c>
      <c r="W363" t="s">
        <v>569</v>
      </c>
      <c r="X363" t="s">
        <v>569</v>
      </c>
      <c r="Y363" t="s">
        <v>569</v>
      </c>
      <c r="Z363" t="s">
        <v>569</v>
      </c>
      <c r="AA363" t="s">
        <v>1229</v>
      </c>
      <c r="AB363">
        <v>50</v>
      </c>
      <c r="AC3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4" spans="1:29" x14ac:dyDescent="0.25">
      <c r="A364" t="s">
        <v>555</v>
      </c>
      <c r="B364" t="s">
        <v>554</v>
      </c>
      <c r="C364" t="s">
        <v>504</v>
      </c>
      <c r="D364" t="s">
        <v>501</v>
      </c>
      <c r="E364" t="s">
        <v>502</v>
      </c>
      <c r="F364" t="s">
        <v>569</v>
      </c>
      <c r="G364" t="s">
        <v>569</v>
      </c>
      <c r="H364" t="s">
        <v>569</v>
      </c>
      <c r="I364" t="s">
        <v>569</v>
      </c>
      <c r="J364" t="s">
        <v>569</v>
      </c>
      <c r="K364">
        <v>0</v>
      </c>
      <c r="L364" t="s">
        <v>569</v>
      </c>
      <c r="M364" t="s">
        <v>569</v>
      </c>
      <c r="N364" t="s">
        <v>569</v>
      </c>
      <c r="O364" t="s">
        <v>569</v>
      </c>
      <c r="P364" t="s">
        <v>569</v>
      </c>
      <c r="Q364" t="s">
        <v>569</v>
      </c>
      <c r="R364">
        <v>49.827795760000001</v>
      </c>
      <c r="S364" t="s">
        <v>1213</v>
      </c>
      <c r="T364">
        <v>-124.57191469999999</v>
      </c>
      <c r="U364" t="s">
        <v>1206</v>
      </c>
      <c r="V364" t="s">
        <v>569</v>
      </c>
      <c r="W364" t="s">
        <v>569</v>
      </c>
      <c r="X364" t="s">
        <v>569</v>
      </c>
      <c r="Y364" t="s">
        <v>569</v>
      </c>
      <c r="Z364" t="s">
        <v>569</v>
      </c>
      <c r="AA364" t="s">
        <v>1229</v>
      </c>
      <c r="AB364">
        <v>50</v>
      </c>
      <c r="AC3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5" spans="1:29" x14ac:dyDescent="0.25">
      <c r="A365" t="s">
        <v>567</v>
      </c>
      <c r="B365" t="s">
        <v>566</v>
      </c>
      <c r="C365" t="s">
        <v>504</v>
      </c>
      <c r="D365" t="s">
        <v>501</v>
      </c>
      <c r="E365" t="s">
        <v>502</v>
      </c>
      <c r="F365" t="s">
        <v>569</v>
      </c>
      <c r="G365" t="s">
        <v>569</v>
      </c>
      <c r="H365" t="s">
        <v>569</v>
      </c>
      <c r="I365" t="s">
        <v>569</v>
      </c>
      <c r="J365" t="s">
        <v>569</v>
      </c>
      <c r="K365">
        <v>0</v>
      </c>
      <c r="L365" t="s">
        <v>569</v>
      </c>
      <c r="M365" t="s">
        <v>569</v>
      </c>
      <c r="N365" t="s">
        <v>569</v>
      </c>
      <c r="O365" t="s">
        <v>569</v>
      </c>
      <c r="P365" t="s">
        <v>569</v>
      </c>
      <c r="Q365" t="s">
        <v>569</v>
      </c>
      <c r="R365">
        <v>49.008150010000001</v>
      </c>
      <c r="S365" t="s">
        <v>1213</v>
      </c>
      <c r="T365">
        <v>-123.1301308</v>
      </c>
      <c r="U365" t="s">
        <v>1206</v>
      </c>
      <c r="V365" t="s">
        <v>569</v>
      </c>
      <c r="W365" t="s">
        <v>569</v>
      </c>
      <c r="X365" t="s">
        <v>569</v>
      </c>
      <c r="Y365" t="s">
        <v>569</v>
      </c>
      <c r="Z365" t="s">
        <v>569</v>
      </c>
      <c r="AA365" t="s">
        <v>1229</v>
      </c>
      <c r="AB365">
        <v>50</v>
      </c>
      <c r="AC3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6" spans="1:29" x14ac:dyDescent="0.25">
      <c r="A366" t="s">
        <v>968</v>
      </c>
      <c r="B366" t="s">
        <v>943</v>
      </c>
      <c r="C366" t="s">
        <v>707</v>
      </c>
      <c r="D366" t="s">
        <v>522</v>
      </c>
      <c r="E366" t="s">
        <v>523</v>
      </c>
      <c r="F366" t="s">
        <v>569</v>
      </c>
      <c r="G366" t="s">
        <v>569</v>
      </c>
      <c r="H366" t="s">
        <v>569</v>
      </c>
      <c r="I366" t="s">
        <v>569</v>
      </c>
      <c r="J366" t="s">
        <v>569</v>
      </c>
      <c r="K366">
        <v>0</v>
      </c>
      <c r="L366" t="s">
        <v>569</v>
      </c>
      <c r="M366" t="s">
        <v>569</v>
      </c>
      <c r="N366" t="s">
        <v>569</v>
      </c>
      <c r="O366" t="s">
        <v>569</v>
      </c>
      <c r="P366" t="s">
        <v>569</v>
      </c>
      <c r="Q366" t="s">
        <v>569</v>
      </c>
      <c r="R366">
        <v>-16.92449684</v>
      </c>
      <c r="S366" t="s">
        <v>1111</v>
      </c>
      <c r="T366">
        <v>145.78050579999999</v>
      </c>
      <c r="U366" t="s">
        <v>1201</v>
      </c>
      <c r="V366" t="s">
        <v>569</v>
      </c>
      <c r="W366" t="s">
        <v>569</v>
      </c>
      <c r="X366" t="s">
        <v>569</v>
      </c>
      <c r="Y366" t="s">
        <v>569</v>
      </c>
      <c r="Z366" t="s">
        <v>569</v>
      </c>
      <c r="AA366" t="s">
        <v>1230</v>
      </c>
      <c r="AB366">
        <v>50</v>
      </c>
      <c r="AC3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7" spans="1:29" x14ac:dyDescent="0.25">
      <c r="A367" t="s">
        <v>831</v>
      </c>
      <c r="B367" t="s">
        <v>820</v>
      </c>
      <c r="C367" t="s">
        <v>504</v>
      </c>
      <c r="D367" t="s">
        <v>501</v>
      </c>
      <c r="E367" t="s">
        <v>502</v>
      </c>
      <c r="F367" t="s">
        <v>569</v>
      </c>
      <c r="G367" t="s">
        <v>569</v>
      </c>
      <c r="H367" t="s">
        <v>569</v>
      </c>
      <c r="I367" t="s">
        <v>569</v>
      </c>
      <c r="J367" t="s">
        <v>569</v>
      </c>
      <c r="K367" t="s">
        <v>569</v>
      </c>
      <c r="L367" t="s">
        <v>569</v>
      </c>
      <c r="M367" t="s">
        <v>569</v>
      </c>
      <c r="N367" t="s">
        <v>569</v>
      </c>
      <c r="O367" t="s">
        <v>569</v>
      </c>
      <c r="P367" t="s">
        <v>569</v>
      </c>
      <c r="Q367" t="s">
        <v>569</v>
      </c>
      <c r="R367">
        <v>48.429386110000003</v>
      </c>
      <c r="S367" t="s">
        <v>1213</v>
      </c>
      <c r="T367">
        <v>-123.4151306</v>
      </c>
      <c r="U367" t="s">
        <v>1206</v>
      </c>
      <c r="V367" t="s">
        <v>569</v>
      </c>
      <c r="W367" t="s">
        <v>569</v>
      </c>
      <c r="X367" t="s">
        <v>569</v>
      </c>
      <c r="Y367" t="s">
        <v>569</v>
      </c>
      <c r="Z367" t="s">
        <v>569</v>
      </c>
      <c r="AA367" t="s">
        <v>1230</v>
      </c>
      <c r="AB367">
        <v>50</v>
      </c>
      <c r="AC3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8" spans="1:29" x14ac:dyDescent="0.25">
      <c r="A368" t="s">
        <v>933</v>
      </c>
      <c r="B368" t="s">
        <v>505</v>
      </c>
      <c r="C368" t="s">
        <v>504</v>
      </c>
      <c r="D368" t="s">
        <v>501</v>
      </c>
      <c r="E368" t="s">
        <v>502</v>
      </c>
      <c r="F368" t="s">
        <v>569</v>
      </c>
      <c r="G368" t="s">
        <v>569</v>
      </c>
      <c r="H368" t="s">
        <v>569</v>
      </c>
      <c r="I368" t="s">
        <v>569</v>
      </c>
      <c r="J368" t="s">
        <v>569</v>
      </c>
      <c r="K368" t="s">
        <v>569</v>
      </c>
      <c r="L368" t="s">
        <v>569</v>
      </c>
      <c r="M368" t="s">
        <v>569</v>
      </c>
      <c r="N368" t="s">
        <v>569</v>
      </c>
      <c r="O368" t="s">
        <v>569</v>
      </c>
      <c r="P368" t="s">
        <v>569</v>
      </c>
      <c r="Q368" t="s">
        <v>569</v>
      </c>
      <c r="R368">
        <v>48.49502459</v>
      </c>
      <c r="S368" t="s">
        <v>1213</v>
      </c>
      <c r="T368">
        <v>-123.3877669</v>
      </c>
      <c r="U368" t="s">
        <v>1206</v>
      </c>
      <c r="V368" t="s">
        <v>569</v>
      </c>
      <c r="W368" t="s">
        <v>569</v>
      </c>
      <c r="X368" t="s">
        <v>569</v>
      </c>
      <c r="Y368" t="s">
        <v>569</v>
      </c>
      <c r="Z368" t="s">
        <v>569</v>
      </c>
      <c r="AA368" t="s">
        <v>569</v>
      </c>
      <c r="AB368">
        <v>50</v>
      </c>
      <c r="AC36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69" spans="1:29" x14ac:dyDescent="0.25">
      <c r="A369" t="s">
        <v>663</v>
      </c>
      <c r="B369" t="s">
        <v>505</v>
      </c>
      <c r="C369" t="s">
        <v>504</v>
      </c>
      <c r="D369" t="s">
        <v>501</v>
      </c>
      <c r="E369" t="s">
        <v>502</v>
      </c>
      <c r="F369" t="s">
        <v>569</v>
      </c>
      <c r="G369" t="s">
        <v>569</v>
      </c>
      <c r="H369" t="s">
        <v>569</v>
      </c>
      <c r="I369" t="s">
        <v>569</v>
      </c>
      <c r="J369" t="s">
        <v>569</v>
      </c>
      <c r="K369">
        <v>0</v>
      </c>
      <c r="L369" t="s">
        <v>569</v>
      </c>
      <c r="M369" t="s">
        <v>569</v>
      </c>
      <c r="N369" t="s">
        <v>569</v>
      </c>
      <c r="O369" t="s">
        <v>569</v>
      </c>
      <c r="P369" t="s">
        <v>569</v>
      </c>
      <c r="Q369" t="s">
        <v>569</v>
      </c>
      <c r="R369">
        <v>48.42276451</v>
      </c>
      <c r="S369" t="s">
        <v>1213</v>
      </c>
      <c r="T369">
        <v>-123.3748341</v>
      </c>
      <c r="U369" t="s">
        <v>1206</v>
      </c>
      <c r="V369" t="s">
        <v>569</v>
      </c>
      <c r="W369" t="s">
        <v>569</v>
      </c>
      <c r="X369" t="s">
        <v>569</v>
      </c>
      <c r="Y369" t="s">
        <v>569</v>
      </c>
      <c r="Z369" t="s">
        <v>569</v>
      </c>
      <c r="AA369" t="s">
        <v>1229</v>
      </c>
      <c r="AB369">
        <v>50</v>
      </c>
      <c r="AC3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0" spans="1:29" x14ac:dyDescent="0.25">
      <c r="A370" t="s">
        <v>1416</v>
      </c>
      <c r="B370" t="s">
        <v>505</v>
      </c>
      <c r="C370" t="s">
        <v>504</v>
      </c>
      <c r="D370" t="s">
        <v>501</v>
      </c>
      <c r="E370" t="s">
        <v>502</v>
      </c>
      <c r="F370" t="s">
        <v>569</v>
      </c>
      <c r="G370" t="s">
        <v>569</v>
      </c>
      <c r="H370" t="s">
        <v>569</v>
      </c>
      <c r="I370" t="s">
        <v>569</v>
      </c>
      <c r="J370" t="s">
        <v>569</v>
      </c>
      <c r="K370" t="s">
        <v>569</v>
      </c>
      <c r="L370" t="s">
        <v>569</v>
      </c>
      <c r="M370" t="s">
        <v>569</v>
      </c>
      <c r="N370" t="s">
        <v>569</v>
      </c>
      <c r="O370" t="s">
        <v>569</v>
      </c>
      <c r="P370" t="s">
        <v>569</v>
      </c>
      <c r="Q370" t="s">
        <v>569</v>
      </c>
      <c r="R370" t="s">
        <v>569</v>
      </c>
      <c r="S370" t="s">
        <v>569</v>
      </c>
      <c r="T370" t="s">
        <v>569</v>
      </c>
      <c r="U370" t="s">
        <v>569</v>
      </c>
      <c r="V370" t="s">
        <v>569</v>
      </c>
      <c r="W370" t="s">
        <v>569</v>
      </c>
      <c r="X370" t="s">
        <v>569</v>
      </c>
      <c r="Y370" t="s">
        <v>569</v>
      </c>
      <c r="Z370" t="s">
        <v>569</v>
      </c>
      <c r="AA370" t="s">
        <v>569</v>
      </c>
      <c r="AB370">
        <v>50</v>
      </c>
      <c r="AC37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1" spans="1:29" x14ac:dyDescent="0.25">
      <c r="A371" t="s">
        <v>629</v>
      </c>
      <c r="B371" t="s">
        <v>5</v>
      </c>
      <c r="C371" t="s">
        <v>504</v>
      </c>
      <c r="D371" t="s">
        <v>501</v>
      </c>
      <c r="E371" t="s">
        <v>502</v>
      </c>
      <c r="F371" t="s">
        <v>569</v>
      </c>
      <c r="G371" t="s">
        <v>569</v>
      </c>
      <c r="H371" t="s">
        <v>569</v>
      </c>
      <c r="I371" t="s">
        <v>569</v>
      </c>
      <c r="J371" t="s">
        <v>569</v>
      </c>
      <c r="K371">
        <v>0</v>
      </c>
      <c r="L371" t="s">
        <v>569</v>
      </c>
      <c r="M371" t="s">
        <v>569</v>
      </c>
      <c r="N371" t="s">
        <v>569</v>
      </c>
      <c r="O371" t="s">
        <v>569</v>
      </c>
      <c r="P371" t="s">
        <v>569</v>
      </c>
      <c r="Q371" t="s">
        <v>569</v>
      </c>
      <c r="R371">
        <v>48.799401209999999</v>
      </c>
      <c r="S371" t="s">
        <v>1213</v>
      </c>
      <c r="T371">
        <v>-123.71415500000001</v>
      </c>
      <c r="U371" t="s">
        <v>1206</v>
      </c>
      <c r="V371" t="s">
        <v>569</v>
      </c>
      <c r="W371" t="s">
        <v>569</v>
      </c>
      <c r="X371" t="s">
        <v>569</v>
      </c>
      <c r="Y371" t="s">
        <v>569</v>
      </c>
      <c r="Z371" t="s">
        <v>569</v>
      </c>
      <c r="AA371" t="s">
        <v>1229</v>
      </c>
      <c r="AB371">
        <v>50</v>
      </c>
      <c r="AC37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2" spans="1:29" x14ac:dyDescent="0.25">
      <c r="A372" t="s">
        <v>579</v>
      </c>
      <c r="B372" t="s">
        <v>505</v>
      </c>
      <c r="C372" t="s">
        <v>504</v>
      </c>
      <c r="D372" t="s">
        <v>501</v>
      </c>
      <c r="E372" t="s">
        <v>502</v>
      </c>
      <c r="F372" t="s">
        <v>569</v>
      </c>
      <c r="G372" t="s">
        <v>569</v>
      </c>
      <c r="H372" t="s">
        <v>569</v>
      </c>
      <c r="I372" t="s">
        <v>569</v>
      </c>
      <c r="J372" t="s">
        <v>569</v>
      </c>
      <c r="K372">
        <v>0</v>
      </c>
      <c r="L372" t="s">
        <v>569</v>
      </c>
      <c r="M372" t="s">
        <v>569</v>
      </c>
      <c r="N372" t="s">
        <v>569</v>
      </c>
      <c r="O372" t="s">
        <v>569</v>
      </c>
      <c r="P372" t="s">
        <v>569</v>
      </c>
      <c r="Q372" t="s">
        <v>569</v>
      </c>
      <c r="R372">
        <v>48.430467729999997</v>
      </c>
      <c r="S372" t="s">
        <v>1213</v>
      </c>
      <c r="T372">
        <v>-123.4475541</v>
      </c>
      <c r="U372" t="s">
        <v>1206</v>
      </c>
      <c r="V372" t="s">
        <v>569</v>
      </c>
      <c r="W372" t="s">
        <v>569</v>
      </c>
      <c r="X372" t="s">
        <v>569</v>
      </c>
      <c r="Y372" t="s">
        <v>569</v>
      </c>
      <c r="Z372" t="s">
        <v>569</v>
      </c>
      <c r="AA372" t="s">
        <v>1229</v>
      </c>
      <c r="AB372">
        <v>50</v>
      </c>
      <c r="AC37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3" spans="1:29" x14ac:dyDescent="0.25">
      <c r="A373" t="s">
        <v>662</v>
      </c>
      <c r="B373" t="s">
        <v>505</v>
      </c>
      <c r="C373" t="s">
        <v>504</v>
      </c>
      <c r="D373" t="s">
        <v>501</v>
      </c>
      <c r="E373" t="s">
        <v>502</v>
      </c>
      <c r="F373" t="s">
        <v>569</v>
      </c>
      <c r="G373" t="s">
        <v>569</v>
      </c>
      <c r="H373" t="s">
        <v>569</v>
      </c>
      <c r="I373" t="s">
        <v>569</v>
      </c>
      <c r="J373" t="s">
        <v>569</v>
      </c>
      <c r="K373">
        <v>0</v>
      </c>
      <c r="L373" t="s">
        <v>569</v>
      </c>
      <c r="M373" t="s">
        <v>569</v>
      </c>
      <c r="N373" t="s">
        <v>569</v>
      </c>
      <c r="O373" t="s">
        <v>569</v>
      </c>
      <c r="P373" t="s">
        <v>569</v>
      </c>
      <c r="Q373" t="s">
        <v>569</v>
      </c>
      <c r="R373">
        <v>48.4861425</v>
      </c>
      <c r="S373" t="s">
        <v>1213</v>
      </c>
      <c r="T373">
        <v>-123.4483802</v>
      </c>
      <c r="U373" t="s">
        <v>1206</v>
      </c>
      <c r="V373" t="s">
        <v>569</v>
      </c>
      <c r="W373" t="s">
        <v>569</v>
      </c>
      <c r="X373" t="s">
        <v>569</v>
      </c>
      <c r="Y373" t="s">
        <v>569</v>
      </c>
      <c r="Z373" t="s">
        <v>569</v>
      </c>
      <c r="AA373" t="s">
        <v>1229</v>
      </c>
      <c r="AB373">
        <v>50</v>
      </c>
      <c r="AC3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4" spans="1:29" x14ac:dyDescent="0.25">
      <c r="A374" t="s">
        <v>1359</v>
      </c>
      <c r="B374" t="s">
        <v>1014</v>
      </c>
      <c r="C374" t="s">
        <v>504</v>
      </c>
      <c r="D374" t="s">
        <v>501</v>
      </c>
      <c r="E374" t="s">
        <v>502</v>
      </c>
      <c r="F374" t="s">
        <v>569</v>
      </c>
      <c r="G374" t="s">
        <v>569</v>
      </c>
      <c r="H374" t="s">
        <v>569</v>
      </c>
      <c r="I374" t="s">
        <v>569</v>
      </c>
      <c r="J374" t="s">
        <v>569</v>
      </c>
      <c r="K374" t="s">
        <v>569</v>
      </c>
      <c r="L374" t="s">
        <v>569</v>
      </c>
      <c r="M374" t="s">
        <v>569</v>
      </c>
      <c r="N374" t="s">
        <v>569</v>
      </c>
      <c r="O374" t="s">
        <v>569</v>
      </c>
      <c r="P374" t="s">
        <v>569</v>
      </c>
      <c r="Q374" t="s">
        <v>569</v>
      </c>
      <c r="R374" t="s">
        <v>569</v>
      </c>
      <c r="S374" t="s">
        <v>569</v>
      </c>
      <c r="T374" t="s">
        <v>569</v>
      </c>
      <c r="U374" t="s">
        <v>569</v>
      </c>
      <c r="V374" t="s">
        <v>569</v>
      </c>
      <c r="W374" t="s">
        <v>569</v>
      </c>
      <c r="X374" t="s">
        <v>569</v>
      </c>
      <c r="Y374" t="s">
        <v>569</v>
      </c>
      <c r="Z374" t="s">
        <v>569</v>
      </c>
      <c r="AA374" t="s">
        <v>569</v>
      </c>
      <c r="AB374">
        <v>50</v>
      </c>
      <c r="AC37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5" spans="1:29" x14ac:dyDescent="0.25">
      <c r="A375" t="s">
        <v>713</v>
      </c>
      <c r="B375" t="s">
        <v>712</v>
      </c>
      <c r="C375" t="s">
        <v>525</v>
      </c>
      <c r="D375" t="s">
        <v>522</v>
      </c>
      <c r="E375" t="s">
        <v>523</v>
      </c>
      <c r="F375" t="s">
        <v>569</v>
      </c>
      <c r="G375" t="s">
        <v>569</v>
      </c>
      <c r="H375" t="s">
        <v>569</v>
      </c>
      <c r="I375" t="s">
        <v>569</v>
      </c>
      <c r="J375" t="s">
        <v>569</v>
      </c>
      <c r="K375">
        <v>0</v>
      </c>
      <c r="L375" t="s">
        <v>569</v>
      </c>
      <c r="M375" t="s">
        <v>569</v>
      </c>
      <c r="N375" t="s">
        <v>569</v>
      </c>
      <c r="O375" t="s">
        <v>569</v>
      </c>
      <c r="P375" t="s">
        <v>569</v>
      </c>
      <c r="Q375" t="s">
        <v>569</v>
      </c>
      <c r="R375">
        <v>-32.046496869999999</v>
      </c>
      <c r="S375" t="s">
        <v>1111</v>
      </c>
      <c r="T375">
        <v>115.74560169999999</v>
      </c>
      <c r="U375" t="s">
        <v>1201</v>
      </c>
      <c r="V375" t="s">
        <v>569</v>
      </c>
      <c r="W375" t="s">
        <v>569</v>
      </c>
      <c r="X375" t="s">
        <v>569</v>
      </c>
      <c r="Y375" t="s">
        <v>569</v>
      </c>
      <c r="Z375" s="9">
        <v>0</v>
      </c>
      <c r="AA375" t="s">
        <v>1229</v>
      </c>
      <c r="AB375">
        <v>50</v>
      </c>
      <c r="AC3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6" spans="1:29" x14ac:dyDescent="0.25">
      <c r="A376" t="s">
        <v>838</v>
      </c>
      <c r="B376" t="s">
        <v>572</v>
      </c>
      <c r="C376" t="s">
        <v>504</v>
      </c>
      <c r="D376" t="s">
        <v>501</v>
      </c>
      <c r="E376" t="s">
        <v>502</v>
      </c>
      <c r="F376" t="s">
        <v>569</v>
      </c>
      <c r="G376" t="s">
        <v>569</v>
      </c>
      <c r="H376" t="s">
        <v>569</v>
      </c>
      <c r="I376" t="s">
        <v>569</v>
      </c>
      <c r="J376" t="s">
        <v>569</v>
      </c>
      <c r="K376" t="s">
        <v>569</v>
      </c>
      <c r="L376" t="s">
        <v>569</v>
      </c>
      <c r="M376" t="s">
        <v>569</v>
      </c>
      <c r="N376" t="s">
        <v>569</v>
      </c>
      <c r="O376" t="s">
        <v>569</v>
      </c>
      <c r="P376" t="s">
        <v>569</v>
      </c>
      <c r="Q376" t="s">
        <v>569</v>
      </c>
      <c r="R376">
        <v>48.80751111</v>
      </c>
      <c r="S376" t="s">
        <v>1213</v>
      </c>
      <c r="T376">
        <v>-123.4269139</v>
      </c>
      <c r="U376" t="s">
        <v>1206</v>
      </c>
      <c r="V376" t="s">
        <v>569</v>
      </c>
      <c r="W376" t="s">
        <v>569</v>
      </c>
      <c r="X376" t="s">
        <v>569</v>
      </c>
      <c r="Y376" t="s">
        <v>569</v>
      </c>
      <c r="Z376" t="s">
        <v>569</v>
      </c>
      <c r="AA376" t="s">
        <v>1230</v>
      </c>
      <c r="AB376">
        <v>50</v>
      </c>
      <c r="AC3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7" spans="1:29" x14ac:dyDescent="0.25">
      <c r="A377" t="s">
        <v>848</v>
      </c>
      <c r="B377" t="s">
        <v>572</v>
      </c>
      <c r="C377" t="s">
        <v>504</v>
      </c>
      <c r="D377" t="s">
        <v>501</v>
      </c>
      <c r="E377" t="s">
        <v>502</v>
      </c>
      <c r="F377" t="s">
        <v>569</v>
      </c>
      <c r="G377" t="s">
        <v>569</v>
      </c>
      <c r="H377" t="s">
        <v>569</v>
      </c>
      <c r="I377" t="s">
        <v>569</v>
      </c>
      <c r="J377" t="s">
        <v>569</v>
      </c>
      <c r="K377">
        <v>0</v>
      </c>
      <c r="L377" t="s">
        <v>569</v>
      </c>
      <c r="M377" t="s">
        <v>569</v>
      </c>
      <c r="N377" t="s">
        <v>569</v>
      </c>
      <c r="O377" t="s">
        <v>569</v>
      </c>
      <c r="P377" t="s">
        <v>569</v>
      </c>
      <c r="Q377" t="s">
        <v>569</v>
      </c>
      <c r="R377">
        <v>48.769064649999997</v>
      </c>
      <c r="S377" t="s">
        <v>1213</v>
      </c>
      <c r="T377">
        <v>-123.4496315</v>
      </c>
      <c r="U377" t="s">
        <v>1206</v>
      </c>
      <c r="V377" t="s">
        <v>569</v>
      </c>
      <c r="W377" t="s">
        <v>569</v>
      </c>
      <c r="X377" t="s">
        <v>569</v>
      </c>
      <c r="Y377" t="s">
        <v>569</v>
      </c>
      <c r="Z377" t="s">
        <v>569</v>
      </c>
      <c r="AA377" t="s">
        <v>1229</v>
      </c>
      <c r="AB377">
        <v>50</v>
      </c>
      <c r="AC3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8" spans="1:29" x14ac:dyDescent="0.25">
      <c r="A378" t="s">
        <v>620</v>
      </c>
      <c r="B378" t="s">
        <v>619</v>
      </c>
      <c r="C378" t="s">
        <v>621</v>
      </c>
      <c r="D378" t="s">
        <v>610</v>
      </c>
      <c r="E378" t="s">
        <v>611</v>
      </c>
      <c r="F378" t="s">
        <v>569</v>
      </c>
      <c r="G378" t="s">
        <v>569</v>
      </c>
      <c r="H378" t="s">
        <v>569</v>
      </c>
      <c r="I378" t="s">
        <v>569</v>
      </c>
      <c r="J378" t="s">
        <v>569</v>
      </c>
      <c r="K378">
        <v>0</v>
      </c>
      <c r="L378" t="s">
        <v>569</v>
      </c>
      <c r="M378" t="s">
        <v>569</v>
      </c>
      <c r="N378" t="s">
        <v>569</v>
      </c>
      <c r="O378" t="s">
        <v>569</v>
      </c>
      <c r="P378" t="s">
        <v>569</v>
      </c>
      <c r="Q378" t="s">
        <v>569</v>
      </c>
      <c r="R378">
        <v>34.967192330000003</v>
      </c>
      <c r="S378" t="s">
        <v>1213</v>
      </c>
      <c r="T378">
        <v>135.7725513</v>
      </c>
      <c r="U378" t="s">
        <v>1201</v>
      </c>
      <c r="V378" t="s">
        <v>569</v>
      </c>
      <c r="W378" t="s">
        <v>569</v>
      </c>
      <c r="X378" t="s">
        <v>569</v>
      </c>
      <c r="Y378" t="s">
        <v>569</v>
      </c>
      <c r="Z378" t="s">
        <v>569</v>
      </c>
      <c r="AA378" t="s">
        <v>1229</v>
      </c>
      <c r="AB378">
        <v>50</v>
      </c>
      <c r="AC3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79" spans="1:29" x14ac:dyDescent="0.25">
      <c r="A379" t="s">
        <v>855</v>
      </c>
      <c r="B379" t="s">
        <v>505</v>
      </c>
      <c r="C379" t="s">
        <v>504</v>
      </c>
      <c r="D379" t="s">
        <v>501</v>
      </c>
      <c r="E379" t="s">
        <v>502</v>
      </c>
      <c r="F379" t="s">
        <v>569</v>
      </c>
      <c r="G379" t="s">
        <v>569</v>
      </c>
      <c r="H379" t="s">
        <v>569</v>
      </c>
      <c r="I379" t="s">
        <v>569</v>
      </c>
      <c r="J379" t="s">
        <v>569</v>
      </c>
      <c r="K379">
        <v>0</v>
      </c>
      <c r="L379" t="s">
        <v>569</v>
      </c>
      <c r="M379" t="s">
        <v>569</v>
      </c>
      <c r="N379" t="s">
        <v>569</v>
      </c>
      <c r="O379" t="s">
        <v>569</v>
      </c>
      <c r="P379" t="s">
        <v>569</v>
      </c>
      <c r="Q379" t="s">
        <v>569</v>
      </c>
      <c r="R379">
        <v>48.454609269999999</v>
      </c>
      <c r="S379" t="s">
        <v>1213</v>
      </c>
      <c r="T379">
        <v>-123.39882369999999</v>
      </c>
      <c r="U379" t="s">
        <v>1206</v>
      </c>
      <c r="V379" t="s">
        <v>569</v>
      </c>
      <c r="W379" t="s">
        <v>569</v>
      </c>
      <c r="X379" t="s">
        <v>569</v>
      </c>
      <c r="Y379" t="s">
        <v>569</v>
      </c>
      <c r="Z379" t="s">
        <v>569</v>
      </c>
      <c r="AA379" t="s">
        <v>1229</v>
      </c>
      <c r="AB379">
        <v>50</v>
      </c>
      <c r="AC3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0" spans="1:29" x14ac:dyDescent="0.25">
      <c r="A380" t="s">
        <v>876</v>
      </c>
      <c r="B380" t="s">
        <v>873</v>
      </c>
      <c r="C380" t="s">
        <v>504</v>
      </c>
      <c r="D380" t="s">
        <v>501</v>
      </c>
      <c r="E380" t="s">
        <v>502</v>
      </c>
      <c r="F380" t="s">
        <v>569</v>
      </c>
      <c r="G380" t="s">
        <v>569</v>
      </c>
      <c r="H380" t="s">
        <v>569</v>
      </c>
      <c r="I380" t="s">
        <v>569</v>
      </c>
      <c r="J380" t="s">
        <v>569</v>
      </c>
      <c r="K380">
        <v>0</v>
      </c>
      <c r="L380" t="s">
        <v>569</v>
      </c>
      <c r="M380" t="s">
        <v>569</v>
      </c>
      <c r="N380" t="s">
        <v>569</v>
      </c>
      <c r="O380" t="s">
        <v>569</v>
      </c>
      <c r="P380" t="s">
        <v>569</v>
      </c>
      <c r="Q380" t="s">
        <v>569</v>
      </c>
      <c r="R380">
        <v>49.133184479999997</v>
      </c>
      <c r="S380" t="s">
        <v>1213</v>
      </c>
      <c r="T380">
        <v>-123.75469649999999</v>
      </c>
      <c r="U380" t="s">
        <v>1206</v>
      </c>
      <c r="V380" t="s">
        <v>569</v>
      </c>
      <c r="W380" t="s">
        <v>569</v>
      </c>
      <c r="X380" t="s">
        <v>569</v>
      </c>
      <c r="Y380" t="s">
        <v>569</v>
      </c>
      <c r="Z380" t="s">
        <v>569</v>
      </c>
      <c r="AA380" t="s">
        <v>1229</v>
      </c>
      <c r="AB380">
        <v>50</v>
      </c>
      <c r="AC38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1" spans="1:29" x14ac:dyDescent="0.25">
      <c r="A381" t="s">
        <v>813</v>
      </c>
      <c r="B381" t="s">
        <v>505</v>
      </c>
      <c r="C381" t="s">
        <v>504</v>
      </c>
      <c r="D381" t="s">
        <v>501</v>
      </c>
      <c r="E381" t="s">
        <v>502</v>
      </c>
      <c r="F381" t="s">
        <v>569</v>
      </c>
      <c r="G381" t="s">
        <v>569</v>
      </c>
      <c r="H381" t="s">
        <v>569</v>
      </c>
      <c r="I381" t="s">
        <v>569</v>
      </c>
      <c r="J381" t="s">
        <v>569</v>
      </c>
      <c r="K381" t="s">
        <v>569</v>
      </c>
      <c r="L381" t="s">
        <v>569</v>
      </c>
      <c r="M381" t="s">
        <v>569</v>
      </c>
      <c r="N381" t="s">
        <v>569</v>
      </c>
      <c r="O381" t="s">
        <v>569</v>
      </c>
      <c r="P381" t="s">
        <v>569</v>
      </c>
      <c r="Q381" t="s">
        <v>569</v>
      </c>
      <c r="R381">
        <v>48.477699999999999</v>
      </c>
      <c r="S381" t="s">
        <v>1213</v>
      </c>
      <c r="T381">
        <v>-123.3544806</v>
      </c>
      <c r="U381" t="s">
        <v>1206</v>
      </c>
      <c r="V381" t="s">
        <v>569</v>
      </c>
      <c r="W381" t="s">
        <v>569</v>
      </c>
      <c r="X381" t="s">
        <v>569</v>
      </c>
      <c r="Y381" t="s">
        <v>569</v>
      </c>
      <c r="Z381" t="s">
        <v>569</v>
      </c>
      <c r="AA381" t="s">
        <v>1230</v>
      </c>
      <c r="AB381">
        <v>50</v>
      </c>
      <c r="AC3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2" spans="1:29" x14ac:dyDescent="0.25">
      <c r="A382" t="s">
        <v>879</v>
      </c>
      <c r="B382" t="s">
        <v>505</v>
      </c>
      <c r="C382" t="s">
        <v>504</v>
      </c>
      <c r="D382" t="s">
        <v>501</v>
      </c>
      <c r="E382" t="s">
        <v>502</v>
      </c>
      <c r="F382" t="s">
        <v>569</v>
      </c>
      <c r="G382" t="s">
        <v>569</v>
      </c>
      <c r="H382" t="s">
        <v>569</v>
      </c>
      <c r="I382" t="s">
        <v>569</v>
      </c>
      <c r="J382" t="s">
        <v>569</v>
      </c>
      <c r="K382">
        <v>0</v>
      </c>
      <c r="L382" t="s">
        <v>569</v>
      </c>
      <c r="M382" t="s">
        <v>569</v>
      </c>
      <c r="N382" t="s">
        <v>569</v>
      </c>
      <c r="O382" t="s">
        <v>569</v>
      </c>
      <c r="P382" t="s">
        <v>569</v>
      </c>
      <c r="Q382" t="s">
        <v>569</v>
      </c>
      <c r="R382">
        <v>48.462325440000001</v>
      </c>
      <c r="S382" t="s">
        <v>1213</v>
      </c>
      <c r="T382">
        <v>-123.4108025</v>
      </c>
      <c r="U382" t="s">
        <v>1206</v>
      </c>
      <c r="V382" t="s">
        <v>569</v>
      </c>
      <c r="W382" t="s">
        <v>569</v>
      </c>
      <c r="X382" t="s">
        <v>569</v>
      </c>
      <c r="Y382" t="s">
        <v>569</v>
      </c>
      <c r="Z382" t="s">
        <v>569</v>
      </c>
      <c r="AA382" t="s">
        <v>1229</v>
      </c>
      <c r="AB382">
        <v>50</v>
      </c>
      <c r="AC3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3" spans="1:29" x14ac:dyDescent="0.25">
      <c r="A383" t="s">
        <v>868</v>
      </c>
      <c r="B383" t="s">
        <v>572</v>
      </c>
      <c r="C383" t="s">
        <v>504</v>
      </c>
      <c r="D383" t="s">
        <v>501</v>
      </c>
      <c r="E383" t="s">
        <v>502</v>
      </c>
      <c r="F383" t="s">
        <v>569</v>
      </c>
      <c r="G383" t="s">
        <v>569</v>
      </c>
      <c r="H383" t="s">
        <v>569</v>
      </c>
      <c r="I383" t="s">
        <v>569</v>
      </c>
      <c r="J383" t="s">
        <v>569</v>
      </c>
      <c r="K383">
        <v>0</v>
      </c>
      <c r="L383" t="s">
        <v>569</v>
      </c>
      <c r="M383" t="s">
        <v>569</v>
      </c>
      <c r="N383" t="s">
        <v>569</v>
      </c>
      <c r="O383" t="s">
        <v>569</v>
      </c>
      <c r="P383" t="s">
        <v>569</v>
      </c>
      <c r="Q383" t="s">
        <v>569</v>
      </c>
      <c r="R383">
        <v>48.85210962</v>
      </c>
      <c r="S383" t="s">
        <v>1213</v>
      </c>
      <c r="T383">
        <v>-123.4983766</v>
      </c>
      <c r="U383" t="s">
        <v>1206</v>
      </c>
      <c r="V383" t="s">
        <v>569</v>
      </c>
      <c r="W383" t="s">
        <v>569</v>
      </c>
      <c r="X383" t="s">
        <v>569</v>
      </c>
      <c r="Y383" t="s">
        <v>569</v>
      </c>
      <c r="Z383" t="s">
        <v>569</v>
      </c>
      <c r="AA383" t="s">
        <v>1229</v>
      </c>
      <c r="AB383">
        <v>50</v>
      </c>
      <c r="AC3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4" spans="1:29" x14ac:dyDescent="0.25">
      <c r="A384" t="s">
        <v>947</v>
      </c>
      <c r="B384" t="s">
        <v>946</v>
      </c>
      <c r="C384" t="s">
        <v>707</v>
      </c>
      <c r="D384" t="s">
        <v>522</v>
      </c>
      <c r="E384" t="s">
        <v>523</v>
      </c>
      <c r="F384" t="s">
        <v>569</v>
      </c>
      <c r="G384" t="s">
        <v>569</v>
      </c>
      <c r="H384" t="s">
        <v>569</v>
      </c>
      <c r="I384" t="s">
        <v>569</v>
      </c>
      <c r="J384" t="s">
        <v>569</v>
      </c>
      <c r="K384">
        <v>0</v>
      </c>
      <c r="L384" t="s">
        <v>569</v>
      </c>
      <c r="M384" t="s">
        <v>569</v>
      </c>
      <c r="N384" t="s">
        <v>569</v>
      </c>
      <c r="O384" t="s">
        <v>569</v>
      </c>
      <c r="P384" t="s">
        <v>569</v>
      </c>
      <c r="Q384" t="s">
        <v>569</v>
      </c>
      <c r="R384">
        <v>-16.457838160000001</v>
      </c>
      <c r="S384" t="s">
        <v>1111</v>
      </c>
      <c r="T384">
        <v>145.3725024</v>
      </c>
      <c r="U384" t="s">
        <v>1201</v>
      </c>
      <c r="V384" t="s">
        <v>569</v>
      </c>
      <c r="W384" t="s">
        <v>569</v>
      </c>
      <c r="X384" t="s">
        <v>569</v>
      </c>
      <c r="Y384" t="s">
        <v>569</v>
      </c>
      <c r="Z384" t="s">
        <v>569</v>
      </c>
      <c r="AA384" t="s">
        <v>1229</v>
      </c>
      <c r="AB384">
        <v>50</v>
      </c>
      <c r="AC3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5" spans="1:29" x14ac:dyDescent="0.25">
      <c r="A385" t="s">
        <v>849</v>
      </c>
      <c r="B385" t="s">
        <v>557</v>
      </c>
      <c r="C385" t="s">
        <v>504</v>
      </c>
      <c r="D385" t="s">
        <v>501</v>
      </c>
      <c r="E385" t="s">
        <v>502</v>
      </c>
      <c r="F385" t="s">
        <v>569</v>
      </c>
      <c r="G385" t="s">
        <v>569</v>
      </c>
      <c r="H385" t="s">
        <v>569</v>
      </c>
      <c r="I385" t="s">
        <v>569</v>
      </c>
      <c r="J385" t="s">
        <v>569</v>
      </c>
      <c r="K385">
        <v>0</v>
      </c>
      <c r="L385" t="s">
        <v>569</v>
      </c>
      <c r="M385" t="s">
        <v>569</v>
      </c>
      <c r="N385" t="s">
        <v>569</v>
      </c>
      <c r="O385" t="s">
        <v>569</v>
      </c>
      <c r="P385" t="s">
        <v>569</v>
      </c>
      <c r="Q385" t="s">
        <v>569</v>
      </c>
      <c r="R385">
        <v>49.88917403</v>
      </c>
      <c r="S385" t="s">
        <v>1213</v>
      </c>
      <c r="T385">
        <v>-124.5941448</v>
      </c>
      <c r="U385" t="s">
        <v>1206</v>
      </c>
      <c r="V385" t="s">
        <v>569</v>
      </c>
      <c r="W385" t="s">
        <v>569</v>
      </c>
      <c r="X385" t="s">
        <v>569</v>
      </c>
      <c r="Y385" t="s">
        <v>569</v>
      </c>
      <c r="Z385" t="s">
        <v>569</v>
      </c>
      <c r="AA385" t="s">
        <v>1229</v>
      </c>
      <c r="AB385">
        <v>50</v>
      </c>
      <c r="AC3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6" spans="1:29" x14ac:dyDescent="0.25">
      <c r="A386" t="s">
        <v>1389</v>
      </c>
      <c r="B386" t="s">
        <v>1388</v>
      </c>
      <c r="C386" t="s">
        <v>504</v>
      </c>
      <c r="D386" t="s">
        <v>501</v>
      </c>
      <c r="E386" t="s">
        <v>502</v>
      </c>
      <c r="F386" t="s">
        <v>569</v>
      </c>
      <c r="G386" t="s">
        <v>569</v>
      </c>
      <c r="H386" t="s">
        <v>569</v>
      </c>
      <c r="I386" t="s">
        <v>569</v>
      </c>
      <c r="J386" t="s">
        <v>569</v>
      </c>
      <c r="K386" t="s">
        <v>569</v>
      </c>
      <c r="L386" t="s">
        <v>569</v>
      </c>
      <c r="M386" t="s">
        <v>569</v>
      </c>
      <c r="N386" t="s">
        <v>569</v>
      </c>
      <c r="O386" t="s">
        <v>569</v>
      </c>
      <c r="P386" t="s">
        <v>569</v>
      </c>
      <c r="Q386" t="s">
        <v>569</v>
      </c>
      <c r="R386" t="s">
        <v>569</v>
      </c>
      <c r="S386" t="s">
        <v>569</v>
      </c>
      <c r="T386" t="s">
        <v>569</v>
      </c>
      <c r="U386" t="s">
        <v>569</v>
      </c>
      <c r="V386" t="s">
        <v>569</v>
      </c>
      <c r="W386" t="s">
        <v>569</v>
      </c>
      <c r="X386" t="s">
        <v>569</v>
      </c>
      <c r="Y386" t="s">
        <v>569</v>
      </c>
      <c r="Z386" t="s">
        <v>569</v>
      </c>
      <c r="AA386" t="s">
        <v>569</v>
      </c>
      <c r="AB386">
        <v>50</v>
      </c>
      <c r="AC38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7" spans="1:29" x14ac:dyDescent="0.25">
      <c r="A387" t="s">
        <v>1249</v>
      </c>
      <c r="B387" t="s">
        <v>1005</v>
      </c>
      <c r="C387" t="s">
        <v>1235</v>
      </c>
      <c r="D387" t="s">
        <v>1006</v>
      </c>
      <c r="E387" t="s">
        <v>1236</v>
      </c>
      <c r="F387" t="s">
        <v>569</v>
      </c>
      <c r="G387" t="s">
        <v>569</v>
      </c>
      <c r="H387" t="s">
        <v>569</v>
      </c>
      <c r="I387" t="s">
        <v>569</v>
      </c>
      <c r="J387" t="s">
        <v>569</v>
      </c>
      <c r="K387" t="s">
        <v>569</v>
      </c>
      <c r="L387" t="s">
        <v>569</v>
      </c>
      <c r="M387" t="s">
        <v>569</v>
      </c>
      <c r="N387" t="s">
        <v>569</v>
      </c>
      <c r="O387" t="s">
        <v>569</v>
      </c>
      <c r="P387" t="s">
        <v>569</v>
      </c>
      <c r="Q387" t="s">
        <v>569</v>
      </c>
      <c r="R387">
        <v>51.571818839999999</v>
      </c>
      <c r="S387" t="s">
        <v>1213</v>
      </c>
      <c r="T387">
        <v>-0.19548248400000001</v>
      </c>
      <c r="U387" t="s">
        <v>1206</v>
      </c>
      <c r="V387" t="s">
        <v>569</v>
      </c>
      <c r="W387" t="s">
        <v>569</v>
      </c>
      <c r="X387" t="s">
        <v>569</v>
      </c>
      <c r="Y387" t="s">
        <v>569</v>
      </c>
      <c r="Z387" t="s">
        <v>569</v>
      </c>
      <c r="AA387" t="s">
        <v>1230</v>
      </c>
      <c r="AB387">
        <v>50</v>
      </c>
      <c r="AC3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8" spans="1:29" x14ac:dyDescent="0.25">
      <c r="A388" t="s">
        <v>832</v>
      </c>
      <c r="B388" t="s">
        <v>505</v>
      </c>
      <c r="C388" t="s">
        <v>504</v>
      </c>
      <c r="D388" t="s">
        <v>501</v>
      </c>
      <c r="E388" t="s">
        <v>502</v>
      </c>
      <c r="F388" t="s">
        <v>569</v>
      </c>
      <c r="G388" t="s">
        <v>569</v>
      </c>
      <c r="H388" t="s">
        <v>569</v>
      </c>
      <c r="I388" t="s">
        <v>569</v>
      </c>
      <c r="J388" t="s">
        <v>569</v>
      </c>
      <c r="K388">
        <v>0</v>
      </c>
      <c r="L388" t="s">
        <v>569</v>
      </c>
      <c r="M388" t="s">
        <v>569</v>
      </c>
      <c r="N388" t="s">
        <v>569</v>
      </c>
      <c r="O388" t="s">
        <v>569</v>
      </c>
      <c r="P388" t="s">
        <v>569</v>
      </c>
      <c r="Q388" t="s">
        <v>569</v>
      </c>
      <c r="R388">
        <v>48.47895269</v>
      </c>
      <c r="S388" t="s">
        <v>1213</v>
      </c>
      <c r="T388">
        <v>-123.548255</v>
      </c>
      <c r="U388" t="s">
        <v>1206</v>
      </c>
      <c r="V388" t="s">
        <v>569</v>
      </c>
      <c r="W388" t="s">
        <v>569</v>
      </c>
      <c r="X388" t="s">
        <v>569</v>
      </c>
      <c r="Y388" t="s">
        <v>569</v>
      </c>
      <c r="Z388" t="s">
        <v>569</v>
      </c>
      <c r="AA388" t="s">
        <v>1229</v>
      </c>
      <c r="AB388">
        <v>50</v>
      </c>
      <c r="AC3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89" spans="1:29" x14ac:dyDescent="0.25">
      <c r="A389" t="s">
        <v>1418</v>
      </c>
      <c r="B389" t="s">
        <v>505</v>
      </c>
      <c r="C389" t="s">
        <v>504</v>
      </c>
      <c r="D389" t="s">
        <v>501</v>
      </c>
      <c r="E389" t="s">
        <v>502</v>
      </c>
      <c r="F389" t="s">
        <v>569</v>
      </c>
      <c r="G389" t="s">
        <v>569</v>
      </c>
      <c r="H389" t="s">
        <v>569</v>
      </c>
      <c r="I389" t="s">
        <v>569</v>
      </c>
      <c r="J389" t="s">
        <v>569</v>
      </c>
      <c r="K389" t="s">
        <v>569</v>
      </c>
      <c r="L389" t="s">
        <v>569</v>
      </c>
      <c r="M389" t="s">
        <v>569</v>
      </c>
      <c r="N389" t="s">
        <v>569</v>
      </c>
      <c r="O389" t="s">
        <v>569</v>
      </c>
      <c r="P389" t="s">
        <v>569</v>
      </c>
      <c r="Q389" t="s">
        <v>569</v>
      </c>
      <c r="R389" t="s">
        <v>569</v>
      </c>
      <c r="S389" t="s">
        <v>569</v>
      </c>
      <c r="T389" t="s">
        <v>569</v>
      </c>
      <c r="U389" t="s">
        <v>569</v>
      </c>
      <c r="V389" t="s">
        <v>569</v>
      </c>
      <c r="W389" t="s">
        <v>569</v>
      </c>
      <c r="X389" t="s">
        <v>569</v>
      </c>
      <c r="Y389" t="s">
        <v>569</v>
      </c>
      <c r="Z389" t="s">
        <v>569</v>
      </c>
      <c r="AA389" t="s">
        <v>569</v>
      </c>
      <c r="AB389">
        <v>50</v>
      </c>
      <c r="AC38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0" spans="1:29" x14ac:dyDescent="0.25">
      <c r="A390" t="s">
        <v>603</v>
      </c>
      <c r="B390" t="s">
        <v>552</v>
      </c>
      <c r="C390" t="s">
        <v>504</v>
      </c>
      <c r="D390" t="s">
        <v>501</v>
      </c>
      <c r="E390" t="s">
        <v>502</v>
      </c>
      <c r="F390" t="s">
        <v>569</v>
      </c>
      <c r="G390" t="s">
        <v>569</v>
      </c>
      <c r="H390" t="s">
        <v>569</v>
      </c>
      <c r="I390" t="s">
        <v>569</v>
      </c>
      <c r="J390" t="s">
        <v>569</v>
      </c>
      <c r="K390" t="s">
        <v>569</v>
      </c>
      <c r="L390" t="s">
        <v>569</v>
      </c>
      <c r="M390" t="s">
        <v>569</v>
      </c>
      <c r="N390" t="s">
        <v>569</v>
      </c>
      <c r="O390" t="s">
        <v>569</v>
      </c>
      <c r="P390" t="s">
        <v>569</v>
      </c>
      <c r="Q390" t="s">
        <v>569</v>
      </c>
      <c r="R390">
        <v>48.835825</v>
      </c>
      <c r="S390" t="s">
        <v>1213</v>
      </c>
      <c r="T390">
        <v>-124.1948167</v>
      </c>
      <c r="U390" t="s">
        <v>1206</v>
      </c>
      <c r="V390" t="s">
        <v>569</v>
      </c>
      <c r="W390" t="s">
        <v>569</v>
      </c>
      <c r="X390" t="s">
        <v>569</v>
      </c>
      <c r="Y390" t="s">
        <v>569</v>
      </c>
      <c r="Z390" t="s">
        <v>569</v>
      </c>
      <c r="AA390" t="s">
        <v>1230</v>
      </c>
      <c r="AB390">
        <v>50</v>
      </c>
      <c r="AC3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1" spans="1:29" x14ac:dyDescent="0.25">
      <c r="A391" t="s">
        <v>599</v>
      </c>
      <c r="B391" t="s">
        <v>505</v>
      </c>
      <c r="C391" t="s">
        <v>504</v>
      </c>
      <c r="D391" t="s">
        <v>501</v>
      </c>
      <c r="E391" t="s">
        <v>502</v>
      </c>
      <c r="F391" t="s">
        <v>569</v>
      </c>
      <c r="G391" t="s">
        <v>569</v>
      </c>
      <c r="H391" t="s">
        <v>569</v>
      </c>
      <c r="I391" t="s">
        <v>569</v>
      </c>
      <c r="J391" t="s">
        <v>569</v>
      </c>
      <c r="K391">
        <v>0</v>
      </c>
      <c r="L391" t="s">
        <v>569</v>
      </c>
      <c r="M391" t="s">
        <v>569</v>
      </c>
      <c r="N391" t="s">
        <v>569</v>
      </c>
      <c r="O391" t="s">
        <v>569</v>
      </c>
      <c r="P391" t="s">
        <v>569</v>
      </c>
      <c r="Q391" t="s">
        <v>569</v>
      </c>
      <c r="R391">
        <v>48.418442509999998</v>
      </c>
      <c r="S391" t="s">
        <v>1213</v>
      </c>
      <c r="T391">
        <v>-123.34254559999999</v>
      </c>
      <c r="U391" t="s">
        <v>1206</v>
      </c>
      <c r="V391" t="s">
        <v>569</v>
      </c>
      <c r="W391" t="s">
        <v>569</v>
      </c>
      <c r="X391" t="s">
        <v>569</v>
      </c>
      <c r="Y391" t="s">
        <v>569</v>
      </c>
      <c r="Z391" t="s">
        <v>569</v>
      </c>
      <c r="AA391" t="s">
        <v>1229</v>
      </c>
      <c r="AB391">
        <v>50</v>
      </c>
      <c r="AC3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2" spans="1:29" x14ac:dyDescent="0.25">
      <c r="A392" t="s">
        <v>995</v>
      </c>
      <c r="B392" t="s">
        <v>505</v>
      </c>
      <c r="C392" t="s">
        <v>504</v>
      </c>
      <c r="D392" t="s">
        <v>501</v>
      </c>
      <c r="E392" t="s">
        <v>502</v>
      </c>
      <c r="F392" t="s">
        <v>569</v>
      </c>
      <c r="G392" t="s">
        <v>569</v>
      </c>
      <c r="H392" t="s">
        <v>569</v>
      </c>
      <c r="I392" t="s">
        <v>569</v>
      </c>
      <c r="J392" t="s">
        <v>569</v>
      </c>
      <c r="K392" t="s">
        <v>569</v>
      </c>
      <c r="L392" t="s">
        <v>569</v>
      </c>
      <c r="M392" t="s">
        <v>569</v>
      </c>
      <c r="N392" t="s">
        <v>569</v>
      </c>
      <c r="O392" t="s">
        <v>569</v>
      </c>
      <c r="P392" t="s">
        <v>569</v>
      </c>
      <c r="Q392" t="s">
        <v>569</v>
      </c>
      <c r="R392">
        <v>48.466743076205901</v>
      </c>
      <c r="S392" t="s">
        <v>1213</v>
      </c>
      <c r="T392">
        <v>-123.296964522008</v>
      </c>
      <c r="U392" t="s">
        <v>1206</v>
      </c>
      <c r="V392" t="s">
        <v>569</v>
      </c>
      <c r="W392" t="s">
        <v>569</v>
      </c>
      <c r="X392" t="s">
        <v>569</v>
      </c>
      <c r="Y392" t="s">
        <v>569</v>
      </c>
      <c r="Z392" t="s">
        <v>569</v>
      </c>
      <c r="AA392" t="s">
        <v>569</v>
      </c>
      <c r="AB392">
        <v>50</v>
      </c>
      <c r="AC39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3" spans="1:29" x14ac:dyDescent="0.25">
      <c r="A393" t="s">
        <v>575</v>
      </c>
      <c r="B393" t="s">
        <v>505</v>
      </c>
      <c r="C393" t="s">
        <v>504</v>
      </c>
      <c r="D393" t="s">
        <v>501</v>
      </c>
      <c r="E393" t="s">
        <v>502</v>
      </c>
      <c r="F393" t="s">
        <v>569</v>
      </c>
      <c r="G393" t="s">
        <v>569</v>
      </c>
      <c r="H393" t="s">
        <v>569</v>
      </c>
      <c r="I393" t="s">
        <v>569</v>
      </c>
      <c r="J393" t="s">
        <v>569</v>
      </c>
      <c r="K393">
        <v>0</v>
      </c>
      <c r="L393" t="s">
        <v>569</v>
      </c>
      <c r="M393" t="s">
        <v>569</v>
      </c>
      <c r="N393" t="s">
        <v>569</v>
      </c>
      <c r="O393" t="s">
        <v>569</v>
      </c>
      <c r="P393" t="s">
        <v>569</v>
      </c>
      <c r="Q393" t="s">
        <v>569</v>
      </c>
      <c r="R393">
        <v>48.56132908</v>
      </c>
      <c r="S393" t="s">
        <v>1213</v>
      </c>
      <c r="T393">
        <v>-123.4657931</v>
      </c>
      <c r="U393" t="s">
        <v>1206</v>
      </c>
      <c r="V393" t="s">
        <v>569</v>
      </c>
      <c r="W393" t="s">
        <v>569</v>
      </c>
      <c r="X393" t="s">
        <v>569</v>
      </c>
      <c r="Y393" t="s">
        <v>569</v>
      </c>
      <c r="Z393" t="s">
        <v>569</v>
      </c>
      <c r="AA393" t="s">
        <v>1229</v>
      </c>
      <c r="AB393">
        <v>50</v>
      </c>
      <c r="AC3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4" spans="1:29" x14ac:dyDescent="0.25">
      <c r="A394" t="s">
        <v>727</v>
      </c>
      <c r="B394" t="s">
        <v>726</v>
      </c>
      <c r="C394" t="s">
        <v>728</v>
      </c>
      <c r="D394" t="s">
        <v>652</v>
      </c>
      <c r="E394" t="s">
        <v>653</v>
      </c>
      <c r="F394" t="s">
        <v>569</v>
      </c>
      <c r="G394" t="s">
        <v>569</v>
      </c>
      <c r="H394" t="s">
        <v>569</v>
      </c>
      <c r="I394" t="s">
        <v>569</v>
      </c>
      <c r="J394" t="s">
        <v>569</v>
      </c>
      <c r="K394">
        <v>0</v>
      </c>
      <c r="L394" t="s">
        <v>569</v>
      </c>
      <c r="M394" t="s">
        <v>569</v>
      </c>
      <c r="N394" t="s">
        <v>569</v>
      </c>
      <c r="O394" t="s">
        <v>569</v>
      </c>
      <c r="P394" t="s">
        <v>569</v>
      </c>
      <c r="Q394" t="s">
        <v>569</v>
      </c>
      <c r="R394">
        <v>47.61221905</v>
      </c>
      <c r="S394" t="s">
        <v>1213</v>
      </c>
      <c r="T394">
        <v>-122.3331445</v>
      </c>
      <c r="U394" t="s">
        <v>1206</v>
      </c>
      <c r="V394" t="s">
        <v>569</v>
      </c>
      <c r="W394" t="s">
        <v>569</v>
      </c>
      <c r="X394" t="s">
        <v>569</v>
      </c>
      <c r="Y394" t="s">
        <v>569</v>
      </c>
      <c r="Z394" s="9">
        <v>0</v>
      </c>
      <c r="AA394" t="s">
        <v>1229</v>
      </c>
      <c r="AB394">
        <v>50</v>
      </c>
      <c r="AC3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5" spans="1:29" x14ac:dyDescent="0.25">
      <c r="A395" t="s">
        <v>786</v>
      </c>
      <c r="B395" t="s">
        <v>784</v>
      </c>
      <c r="C395" t="s">
        <v>784</v>
      </c>
      <c r="D395" t="s">
        <v>777</v>
      </c>
      <c r="E395" t="s">
        <v>778</v>
      </c>
      <c r="F395" t="s">
        <v>569</v>
      </c>
      <c r="G395" t="s">
        <v>569</v>
      </c>
      <c r="H395" t="s">
        <v>569</v>
      </c>
      <c r="I395" t="s">
        <v>569</v>
      </c>
      <c r="J395" t="s">
        <v>569</v>
      </c>
      <c r="K395" t="s">
        <v>569</v>
      </c>
      <c r="L395" t="s">
        <v>569</v>
      </c>
      <c r="M395" t="s">
        <v>569</v>
      </c>
      <c r="N395" t="s">
        <v>569</v>
      </c>
      <c r="O395" t="s">
        <v>569</v>
      </c>
      <c r="P395" t="s">
        <v>569</v>
      </c>
      <c r="Q395" t="s">
        <v>569</v>
      </c>
      <c r="R395">
        <v>13.750536110000001</v>
      </c>
      <c r="S395" t="s">
        <v>1213</v>
      </c>
      <c r="T395">
        <v>100.4915361</v>
      </c>
      <c r="U395" t="s">
        <v>1201</v>
      </c>
      <c r="V395" t="s">
        <v>569</v>
      </c>
      <c r="W395" t="s">
        <v>569</v>
      </c>
      <c r="X395" t="s">
        <v>569</v>
      </c>
      <c r="Y395" t="s">
        <v>569</v>
      </c>
      <c r="Z395" t="s">
        <v>569</v>
      </c>
      <c r="AA395" t="s">
        <v>1230</v>
      </c>
      <c r="AB395">
        <v>50</v>
      </c>
      <c r="AC39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6" spans="1:29" x14ac:dyDescent="0.25">
      <c r="A396" t="s">
        <v>927</v>
      </c>
      <c r="B396" t="s">
        <v>513</v>
      </c>
      <c r="C396" t="s">
        <v>504</v>
      </c>
      <c r="D396" t="s">
        <v>501</v>
      </c>
      <c r="E396" t="s">
        <v>502</v>
      </c>
      <c r="F396" t="s">
        <v>569</v>
      </c>
      <c r="G396" t="s">
        <v>569</v>
      </c>
      <c r="H396" t="s">
        <v>569</v>
      </c>
      <c r="I396" t="s">
        <v>569</v>
      </c>
      <c r="J396" t="s">
        <v>569</v>
      </c>
      <c r="K396">
        <v>0</v>
      </c>
      <c r="L396" t="s">
        <v>569</v>
      </c>
      <c r="M396" t="s">
        <v>569</v>
      </c>
      <c r="N396" t="s">
        <v>569</v>
      </c>
      <c r="O396" t="s">
        <v>569</v>
      </c>
      <c r="P396" t="s">
        <v>569</v>
      </c>
      <c r="Q396" t="s">
        <v>569</v>
      </c>
      <c r="R396">
        <v>49.37969064</v>
      </c>
      <c r="S396" t="s">
        <v>1213</v>
      </c>
      <c r="T396">
        <v>-123.0831599</v>
      </c>
      <c r="U396" t="s">
        <v>1206</v>
      </c>
      <c r="V396" t="s">
        <v>569</v>
      </c>
      <c r="W396" t="s">
        <v>569</v>
      </c>
      <c r="X396" t="s">
        <v>569</v>
      </c>
      <c r="Y396" t="s">
        <v>569</v>
      </c>
      <c r="Z396" t="s">
        <v>569</v>
      </c>
      <c r="AA396" t="s">
        <v>1229</v>
      </c>
      <c r="AB396">
        <v>50</v>
      </c>
      <c r="AC3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7" spans="1:29" x14ac:dyDescent="0.25">
      <c r="A397" t="s">
        <v>915</v>
      </c>
      <c r="B397" t="s">
        <v>914</v>
      </c>
      <c r="C397" t="s">
        <v>504</v>
      </c>
      <c r="D397" t="s">
        <v>501</v>
      </c>
      <c r="E397" t="s">
        <v>502</v>
      </c>
      <c r="F397" t="s">
        <v>569</v>
      </c>
      <c r="G397" t="s">
        <v>569</v>
      </c>
      <c r="H397" t="s">
        <v>569</v>
      </c>
      <c r="I397" t="s">
        <v>569</v>
      </c>
      <c r="J397" t="s">
        <v>569</v>
      </c>
      <c r="K397">
        <v>0</v>
      </c>
      <c r="L397" t="s">
        <v>569</v>
      </c>
      <c r="M397" t="s">
        <v>569</v>
      </c>
      <c r="N397" t="s">
        <v>569</v>
      </c>
      <c r="O397" t="s">
        <v>569</v>
      </c>
      <c r="P397" t="s">
        <v>569</v>
      </c>
      <c r="Q397" t="s">
        <v>569</v>
      </c>
      <c r="R397">
        <v>49.09392063</v>
      </c>
      <c r="S397" t="s">
        <v>1213</v>
      </c>
      <c r="T397">
        <v>-122.4921083</v>
      </c>
      <c r="U397" t="s">
        <v>1206</v>
      </c>
      <c r="V397" t="s">
        <v>569</v>
      </c>
      <c r="W397" t="s">
        <v>569</v>
      </c>
      <c r="X397" t="s">
        <v>569</v>
      </c>
      <c r="Y397" t="s">
        <v>569</v>
      </c>
      <c r="Z397" t="s">
        <v>569</v>
      </c>
      <c r="AA397" t="s">
        <v>1229</v>
      </c>
      <c r="AB397">
        <v>50</v>
      </c>
      <c r="AC39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8" spans="1:29" x14ac:dyDescent="0.25">
      <c r="A398" t="s">
        <v>877</v>
      </c>
      <c r="B398" t="s">
        <v>505</v>
      </c>
      <c r="C398" t="s">
        <v>504</v>
      </c>
      <c r="D398" t="s">
        <v>501</v>
      </c>
      <c r="E398" t="s">
        <v>502</v>
      </c>
      <c r="F398" t="s">
        <v>569</v>
      </c>
      <c r="G398" t="s">
        <v>569</v>
      </c>
      <c r="H398" t="s">
        <v>569</v>
      </c>
      <c r="I398" t="s">
        <v>569</v>
      </c>
      <c r="J398" t="s">
        <v>569</v>
      </c>
      <c r="K398">
        <v>0</v>
      </c>
      <c r="L398" t="s">
        <v>569</v>
      </c>
      <c r="M398" t="s">
        <v>569</v>
      </c>
      <c r="N398" t="s">
        <v>569</v>
      </c>
      <c r="O398" t="s">
        <v>569</v>
      </c>
      <c r="P398" t="s">
        <v>569</v>
      </c>
      <c r="Q398" t="s">
        <v>569</v>
      </c>
      <c r="R398">
        <v>48.639605099999997</v>
      </c>
      <c r="S398" t="s">
        <v>1213</v>
      </c>
      <c r="T398">
        <v>-123.4099925</v>
      </c>
      <c r="U398" t="s">
        <v>1206</v>
      </c>
      <c r="V398" t="s">
        <v>569</v>
      </c>
      <c r="W398" t="s">
        <v>569</v>
      </c>
      <c r="X398" t="s">
        <v>569</v>
      </c>
      <c r="Y398" t="s">
        <v>569</v>
      </c>
      <c r="Z398" t="s">
        <v>569</v>
      </c>
      <c r="AA398" t="s">
        <v>1229</v>
      </c>
      <c r="AB398">
        <v>50</v>
      </c>
      <c r="AC3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399" spans="1:29" x14ac:dyDescent="0.25">
      <c r="A399" t="s">
        <v>926</v>
      </c>
      <c r="B399" t="s">
        <v>925</v>
      </c>
      <c r="C399" t="s">
        <v>504</v>
      </c>
      <c r="D399" t="s">
        <v>501</v>
      </c>
      <c r="E399" t="s">
        <v>502</v>
      </c>
      <c r="F399" t="s">
        <v>569</v>
      </c>
      <c r="G399" t="s">
        <v>569</v>
      </c>
      <c r="H399" t="s">
        <v>569</v>
      </c>
      <c r="I399" t="s">
        <v>569</v>
      </c>
      <c r="J399" t="s">
        <v>569</v>
      </c>
      <c r="K399">
        <v>0</v>
      </c>
      <c r="L399" t="s">
        <v>569</v>
      </c>
      <c r="M399" t="s">
        <v>569</v>
      </c>
      <c r="N399" t="s">
        <v>569</v>
      </c>
      <c r="O399" t="s">
        <v>569</v>
      </c>
      <c r="P399" t="s">
        <v>569</v>
      </c>
      <c r="Q399" t="s">
        <v>569</v>
      </c>
      <c r="R399">
        <v>49.382275</v>
      </c>
      <c r="S399" t="s">
        <v>1213</v>
      </c>
      <c r="T399">
        <v>-123.0787182</v>
      </c>
      <c r="U399" t="s">
        <v>1206</v>
      </c>
      <c r="V399" t="s">
        <v>569</v>
      </c>
      <c r="W399" t="s">
        <v>569</v>
      </c>
      <c r="X399" t="s">
        <v>569</v>
      </c>
      <c r="Y399" t="s">
        <v>569</v>
      </c>
      <c r="Z399" t="s">
        <v>569</v>
      </c>
      <c r="AA399" t="s">
        <v>1229</v>
      </c>
      <c r="AB399">
        <v>50</v>
      </c>
      <c r="AC3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0" spans="1:29" x14ac:dyDescent="0.25">
      <c r="A400" t="s">
        <v>861</v>
      </c>
      <c r="B400" t="s">
        <v>505</v>
      </c>
      <c r="C400" t="s">
        <v>504</v>
      </c>
      <c r="D400" t="s">
        <v>501</v>
      </c>
      <c r="E400" t="s">
        <v>502</v>
      </c>
      <c r="F400" t="s">
        <v>569</v>
      </c>
      <c r="G400" t="s">
        <v>569</v>
      </c>
      <c r="H400" t="s">
        <v>569</v>
      </c>
      <c r="I400" t="s">
        <v>569</v>
      </c>
      <c r="J400" t="s">
        <v>569</v>
      </c>
      <c r="K400">
        <v>0</v>
      </c>
      <c r="L400" t="s">
        <v>569</v>
      </c>
      <c r="M400" t="s">
        <v>569</v>
      </c>
      <c r="N400" t="s">
        <v>569</v>
      </c>
      <c r="O400" t="s">
        <v>569</v>
      </c>
      <c r="P400" t="s">
        <v>569</v>
      </c>
      <c r="Q400" t="s">
        <v>569</v>
      </c>
      <c r="R400">
        <v>48.45908472</v>
      </c>
      <c r="S400" t="s">
        <v>1213</v>
      </c>
      <c r="T400">
        <v>-123.2919163</v>
      </c>
      <c r="U400" t="s">
        <v>1206</v>
      </c>
      <c r="V400" t="s">
        <v>569</v>
      </c>
      <c r="W400" t="s">
        <v>569</v>
      </c>
      <c r="X400" t="s">
        <v>569</v>
      </c>
      <c r="Y400" t="s">
        <v>569</v>
      </c>
      <c r="Z400" t="s">
        <v>569</v>
      </c>
      <c r="AA400" t="s">
        <v>1229</v>
      </c>
      <c r="AB400">
        <v>50</v>
      </c>
      <c r="AC40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1" spans="1:29" x14ac:dyDescent="0.25">
      <c r="A401" t="s">
        <v>658</v>
      </c>
      <c r="B401" t="s">
        <v>657</v>
      </c>
      <c r="C401" t="s">
        <v>655</v>
      </c>
      <c r="D401" t="s">
        <v>652</v>
      </c>
      <c r="E401" t="s">
        <v>653</v>
      </c>
      <c r="F401" t="s">
        <v>569</v>
      </c>
      <c r="G401" t="s">
        <v>569</v>
      </c>
      <c r="H401" t="s">
        <v>569</v>
      </c>
      <c r="I401" t="s">
        <v>569</v>
      </c>
      <c r="J401" t="s">
        <v>569</v>
      </c>
      <c r="K401" t="s">
        <v>569</v>
      </c>
      <c r="L401" t="s">
        <v>569</v>
      </c>
      <c r="M401" t="s">
        <v>569</v>
      </c>
      <c r="N401" t="s">
        <v>569</v>
      </c>
      <c r="O401" t="s">
        <v>569</v>
      </c>
      <c r="P401" t="s">
        <v>569</v>
      </c>
      <c r="Q401" t="s">
        <v>569</v>
      </c>
      <c r="R401">
        <v>18.083472220000001</v>
      </c>
      <c r="S401" t="s">
        <v>1213</v>
      </c>
      <c r="T401">
        <v>-66.654040069999994</v>
      </c>
      <c r="U401" t="s">
        <v>1206</v>
      </c>
      <c r="V401" t="s">
        <v>569</v>
      </c>
      <c r="W401" t="s">
        <v>569</v>
      </c>
      <c r="X401" t="s">
        <v>569</v>
      </c>
      <c r="Y401" t="s">
        <v>569</v>
      </c>
      <c r="Z401" t="s">
        <v>569</v>
      </c>
      <c r="AA401" t="s">
        <v>569</v>
      </c>
      <c r="AB401">
        <v>50</v>
      </c>
      <c r="AC40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2" spans="1:29" x14ac:dyDescent="0.25">
      <c r="A402" t="s">
        <v>992</v>
      </c>
      <c r="B402" t="s">
        <v>991</v>
      </c>
      <c r="C402" t="s">
        <v>707</v>
      </c>
      <c r="D402" t="s">
        <v>522</v>
      </c>
      <c r="E402" t="s">
        <v>523</v>
      </c>
      <c r="F402" t="s">
        <v>569</v>
      </c>
      <c r="G402" t="s">
        <v>569</v>
      </c>
      <c r="H402" t="s">
        <v>569</v>
      </c>
      <c r="I402" t="s">
        <v>569</v>
      </c>
      <c r="J402" t="s">
        <v>569</v>
      </c>
      <c r="K402" t="s">
        <v>569</v>
      </c>
      <c r="L402" t="s">
        <v>569</v>
      </c>
      <c r="M402" t="s">
        <v>569</v>
      </c>
      <c r="N402" t="s">
        <v>569</v>
      </c>
      <c r="O402" t="s">
        <v>569</v>
      </c>
      <c r="P402" t="s">
        <v>569</v>
      </c>
      <c r="Q402" t="s">
        <v>569</v>
      </c>
      <c r="R402" s="4">
        <v>-20.351698646022999</v>
      </c>
      <c r="S402" t="s">
        <v>1111</v>
      </c>
      <c r="T402" s="4">
        <v>148.95173157753399</v>
      </c>
      <c r="U402" t="s">
        <v>1201</v>
      </c>
      <c r="V402" t="s">
        <v>569</v>
      </c>
      <c r="W402" t="s">
        <v>569</v>
      </c>
      <c r="X402" t="s">
        <v>569</v>
      </c>
      <c r="Y402" t="s">
        <v>569</v>
      </c>
      <c r="Z402" t="s">
        <v>569</v>
      </c>
      <c r="AA402" t="s">
        <v>569</v>
      </c>
      <c r="AB402">
        <v>50</v>
      </c>
      <c r="AC4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3" spans="1:29" x14ac:dyDescent="0.25">
      <c r="A403" t="s">
        <v>1253</v>
      </c>
      <c r="B403" t="s">
        <v>1005</v>
      </c>
      <c r="C403" t="s">
        <v>1235</v>
      </c>
      <c r="D403" t="s">
        <v>1006</v>
      </c>
      <c r="E403" t="s">
        <v>1236</v>
      </c>
      <c r="F403" t="s">
        <v>569</v>
      </c>
      <c r="G403" t="s">
        <v>569</v>
      </c>
      <c r="H403" t="s">
        <v>569</v>
      </c>
      <c r="I403" t="s">
        <v>569</v>
      </c>
      <c r="J403" t="s">
        <v>569</v>
      </c>
      <c r="K403" t="s">
        <v>569</v>
      </c>
      <c r="L403" t="s">
        <v>569</v>
      </c>
      <c r="M403" t="s">
        <v>569</v>
      </c>
      <c r="N403" t="s">
        <v>569</v>
      </c>
      <c r="O403" t="s">
        <v>569</v>
      </c>
      <c r="P403" t="s">
        <v>569</v>
      </c>
      <c r="Q403" t="s">
        <v>569</v>
      </c>
      <c r="R403">
        <v>51.56082576</v>
      </c>
      <c r="S403" t="s">
        <v>1213</v>
      </c>
      <c r="T403">
        <v>-0.163032764</v>
      </c>
      <c r="U403" t="s">
        <v>1206</v>
      </c>
      <c r="V403" t="s">
        <v>569</v>
      </c>
      <c r="W403" t="s">
        <v>569</v>
      </c>
      <c r="X403" t="s">
        <v>569</v>
      </c>
      <c r="Y403" t="s">
        <v>569</v>
      </c>
      <c r="Z403" t="s">
        <v>569</v>
      </c>
      <c r="AA403" t="s">
        <v>1230</v>
      </c>
      <c r="AB403">
        <v>50</v>
      </c>
      <c r="AC4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4" spans="1:29" x14ac:dyDescent="0.25">
      <c r="A404" t="s">
        <v>1240</v>
      </c>
      <c r="B404" t="s">
        <v>1005</v>
      </c>
      <c r="C404" t="s">
        <v>1235</v>
      </c>
      <c r="D404" t="s">
        <v>1006</v>
      </c>
      <c r="E404" t="s">
        <v>1236</v>
      </c>
      <c r="F404" t="s">
        <v>569</v>
      </c>
      <c r="G404" t="s">
        <v>569</v>
      </c>
      <c r="H404" t="s">
        <v>569</v>
      </c>
      <c r="I404" t="s">
        <v>569</v>
      </c>
      <c r="J404" t="s">
        <v>569</v>
      </c>
      <c r="K404" t="s">
        <v>569</v>
      </c>
      <c r="L404" t="s">
        <v>569</v>
      </c>
      <c r="M404" t="s">
        <v>569</v>
      </c>
      <c r="N404" t="s">
        <v>569</v>
      </c>
      <c r="O404" t="s">
        <v>569</v>
      </c>
      <c r="P404" t="s">
        <v>569</v>
      </c>
      <c r="Q404" t="s">
        <v>569</v>
      </c>
      <c r="R404">
        <v>51.405626660000003</v>
      </c>
      <c r="S404" t="s">
        <v>1213</v>
      </c>
      <c r="T404">
        <v>-0.32168116899999999</v>
      </c>
      <c r="U404" t="s">
        <v>1206</v>
      </c>
      <c r="V404" t="s">
        <v>569</v>
      </c>
      <c r="W404" t="s">
        <v>569</v>
      </c>
      <c r="X404" t="s">
        <v>569</v>
      </c>
      <c r="Y404" t="s">
        <v>569</v>
      </c>
      <c r="Z404" t="s">
        <v>569</v>
      </c>
      <c r="AA404" t="s">
        <v>1230</v>
      </c>
      <c r="AB404">
        <v>50</v>
      </c>
      <c r="AC40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5" spans="1:29" x14ac:dyDescent="0.25">
      <c r="A405" t="s">
        <v>1339</v>
      </c>
      <c r="B405" t="s">
        <v>505</v>
      </c>
      <c r="C405" t="s">
        <v>504</v>
      </c>
      <c r="D405" t="s">
        <v>501</v>
      </c>
      <c r="E405" t="s">
        <v>502</v>
      </c>
      <c r="F405" t="s">
        <v>569</v>
      </c>
      <c r="G405" t="s">
        <v>569</v>
      </c>
      <c r="H405" t="s">
        <v>569</v>
      </c>
      <c r="I405" t="s">
        <v>569</v>
      </c>
      <c r="J405" t="s">
        <v>569</v>
      </c>
      <c r="K405" t="s">
        <v>569</v>
      </c>
      <c r="L405" t="s">
        <v>569</v>
      </c>
      <c r="M405" t="s">
        <v>569</v>
      </c>
      <c r="N405" t="s">
        <v>569</v>
      </c>
      <c r="O405" t="s">
        <v>569</v>
      </c>
      <c r="P405" t="s">
        <v>569</v>
      </c>
      <c r="Q405" t="s">
        <v>569</v>
      </c>
      <c r="R405">
        <v>48.428499878552898</v>
      </c>
      <c r="S405" t="s">
        <v>1213</v>
      </c>
      <c r="T405">
        <v>-123.529094489016</v>
      </c>
      <c r="U405" t="s">
        <v>1206</v>
      </c>
      <c r="V405" t="s">
        <v>569</v>
      </c>
      <c r="W405" t="s">
        <v>569</v>
      </c>
      <c r="X405" t="s">
        <v>569</v>
      </c>
      <c r="Y405" t="s">
        <v>569</v>
      </c>
      <c r="Z405" t="s">
        <v>569</v>
      </c>
      <c r="AA405" t="s">
        <v>569</v>
      </c>
      <c r="AB405">
        <v>50</v>
      </c>
      <c r="AC40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6" spans="1:29" x14ac:dyDescent="0.25">
      <c r="A406" t="s">
        <v>1398</v>
      </c>
      <c r="B406" t="s">
        <v>513</v>
      </c>
      <c r="C406" t="s">
        <v>504</v>
      </c>
      <c r="D406" t="s">
        <v>501</v>
      </c>
      <c r="E406" t="s">
        <v>502</v>
      </c>
      <c r="F406" t="s">
        <v>569</v>
      </c>
      <c r="G406" t="s">
        <v>569</v>
      </c>
      <c r="H406" t="s">
        <v>569</v>
      </c>
      <c r="I406" t="s">
        <v>569</v>
      </c>
      <c r="J406" t="s">
        <v>569</v>
      </c>
      <c r="K406" t="s">
        <v>569</v>
      </c>
      <c r="L406" t="s">
        <v>569</v>
      </c>
      <c r="M406" t="s">
        <v>569</v>
      </c>
      <c r="N406" t="s">
        <v>569</v>
      </c>
      <c r="O406" t="s">
        <v>569</v>
      </c>
      <c r="P406" t="s">
        <v>569</v>
      </c>
      <c r="Q406" t="s">
        <v>569</v>
      </c>
      <c r="R406" t="s">
        <v>569</v>
      </c>
      <c r="S406" t="s">
        <v>569</v>
      </c>
      <c r="T406" t="s">
        <v>569</v>
      </c>
      <c r="U406" t="s">
        <v>569</v>
      </c>
      <c r="V406" t="s">
        <v>569</v>
      </c>
      <c r="W406" t="s">
        <v>569</v>
      </c>
      <c r="X406" t="s">
        <v>569</v>
      </c>
      <c r="Y406" t="s">
        <v>569</v>
      </c>
      <c r="Z406" t="s">
        <v>569</v>
      </c>
      <c r="AA406" t="s">
        <v>569</v>
      </c>
      <c r="AB406">
        <v>50</v>
      </c>
      <c r="AC40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7" spans="1:29" x14ac:dyDescent="0.25">
      <c r="A407" t="s">
        <v>580</v>
      </c>
      <c r="B407" t="s">
        <v>505</v>
      </c>
      <c r="C407" t="s">
        <v>504</v>
      </c>
      <c r="D407" t="s">
        <v>501</v>
      </c>
      <c r="E407" t="s">
        <v>502</v>
      </c>
      <c r="F407" t="s">
        <v>569</v>
      </c>
      <c r="G407" t="s">
        <v>569</v>
      </c>
      <c r="H407" t="s">
        <v>569</v>
      </c>
      <c r="I407" t="s">
        <v>569</v>
      </c>
      <c r="J407" t="s">
        <v>569</v>
      </c>
      <c r="K407">
        <v>0</v>
      </c>
      <c r="L407" t="s">
        <v>569</v>
      </c>
      <c r="M407" t="s">
        <v>569</v>
      </c>
      <c r="N407" t="s">
        <v>569</v>
      </c>
      <c r="O407" t="s">
        <v>569</v>
      </c>
      <c r="P407" t="s">
        <v>569</v>
      </c>
      <c r="Q407" t="s">
        <v>569</v>
      </c>
      <c r="R407">
        <v>48.529196059999997</v>
      </c>
      <c r="S407" t="s">
        <v>1213</v>
      </c>
      <c r="T407">
        <v>-123.46083640000001</v>
      </c>
      <c r="U407" t="s">
        <v>1206</v>
      </c>
      <c r="V407" t="s">
        <v>569</v>
      </c>
      <c r="W407" t="s">
        <v>569</v>
      </c>
      <c r="X407" t="s">
        <v>569</v>
      </c>
      <c r="Y407" t="s">
        <v>569</v>
      </c>
      <c r="Z407" t="s">
        <v>569</v>
      </c>
      <c r="AA407" t="s">
        <v>1229</v>
      </c>
      <c r="AB407">
        <v>50</v>
      </c>
      <c r="AC40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8" spans="1:29" x14ac:dyDescent="0.25">
      <c r="A408" t="s">
        <v>1367</v>
      </c>
      <c r="B408" t="s">
        <v>557</v>
      </c>
      <c r="C408" t="s">
        <v>504</v>
      </c>
      <c r="D408" t="s">
        <v>501</v>
      </c>
      <c r="E408" t="s">
        <v>502</v>
      </c>
      <c r="F408" t="s">
        <v>569</v>
      </c>
      <c r="G408" t="s">
        <v>569</v>
      </c>
      <c r="H408" t="s">
        <v>569</v>
      </c>
      <c r="I408" t="s">
        <v>569</v>
      </c>
      <c r="J408" t="s">
        <v>569</v>
      </c>
      <c r="K408" t="s">
        <v>569</v>
      </c>
      <c r="L408" t="s">
        <v>569</v>
      </c>
      <c r="M408" t="s">
        <v>569</v>
      </c>
      <c r="N408" t="s">
        <v>569</v>
      </c>
      <c r="O408" t="s">
        <v>569</v>
      </c>
      <c r="P408" t="s">
        <v>569</v>
      </c>
      <c r="Q408" t="s">
        <v>569</v>
      </c>
      <c r="R408" t="s">
        <v>569</v>
      </c>
      <c r="S408" t="s">
        <v>569</v>
      </c>
      <c r="T408" t="s">
        <v>569</v>
      </c>
      <c r="U408" t="s">
        <v>569</v>
      </c>
      <c r="V408" t="s">
        <v>569</v>
      </c>
      <c r="W408" t="s">
        <v>569</v>
      </c>
      <c r="X408" t="s">
        <v>569</v>
      </c>
      <c r="Y408" t="s">
        <v>569</v>
      </c>
      <c r="Z408" t="s">
        <v>569</v>
      </c>
      <c r="AA408" t="s">
        <v>569</v>
      </c>
      <c r="AB408">
        <v>50</v>
      </c>
      <c r="AC40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09" spans="1:29" x14ac:dyDescent="0.25">
      <c r="A409" t="s">
        <v>684</v>
      </c>
      <c r="B409" t="s">
        <v>505</v>
      </c>
      <c r="C409" t="s">
        <v>504</v>
      </c>
      <c r="D409" t="s">
        <v>501</v>
      </c>
      <c r="E409" t="s">
        <v>502</v>
      </c>
      <c r="F409" t="s">
        <v>569</v>
      </c>
      <c r="G409" t="s">
        <v>569</v>
      </c>
      <c r="H409" t="s">
        <v>569</v>
      </c>
      <c r="I409" t="s">
        <v>569</v>
      </c>
      <c r="J409" t="s">
        <v>569</v>
      </c>
      <c r="K409">
        <v>0</v>
      </c>
      <c r="L409" t="s">
        <v>569</v>
      </c>
      <c r="M409" t="s">
        <v>569</v>
      </c>
      <c r="N409" t="s">
        <v>569</v>
      </c>
      <c r="O409" t="s">
        <v>569</v>
      </c>
      <c r="P409" t="s">
        <v>569</v>
      </c>
      <c r="Q409" t="s">
        <v>569</v>
      </c>
      <c r="R409">
        <v>48.433831300000001</v>
      </c>
      <c r="S409" t="s">
        <v>1213</v>
      </c>
      <c r="T409">
        <v>-123.4724665</v>
      </c>
      <c r="U409" t="s">
        <v>1206</v>
      </c>
      <c r="V409" t="s">
        <v>569</v>
      </c>
      <c r="W409" t="s">
        <v>569</v>
      </c>
      <c r="X409" t="s">
        <v>569</v>
      </c>
      <c r="Y409" t="s">
        <v>569</v>
      </c>
      <c r="Z409" s="9">
        <v>0</v>
      </c>
      <c r="AA409" t="s">
        <v>1229</v>
      </c>
      <c r="AB409">
        <v>50</v>
      </c>
      <c r="AC40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0" spans="1:29" x14ac:dyDescent="0.25">
      <c r="A410" t="s">
        <v>548</v>
      </c>
      <c r="B410" t="s">
        <v>505</v>
      </c>
      <c r="C410" t="s">
        <v>504</v>
      </c>
      <c r="D410" t="s">
        <v>501</v>
      </c>
      <c r="E410" t="s">
        <v>502</v>
      </c>
      <c r="F410" t="s">
        <v>569</v>
      </c>
      <c r="G410" t="s">
        <v>569</v>
      </c>
      <c r="H410" t="s">
        <v>569</v>
      </c>
      <c r="I410" t="s">
        <v>569</v>
      </c>
      <c r="J410" t="s">
        <v>569</v>
      </c>
      <c r="K410">
        <v>0</v>
      </c>
      <c r="L410" t="s">
        <v>569</v>
      </c>
      <c r="M410" t="s">
        <v>569</v>
      </c>
      <c r="N410" t="s">
        <v>569</v>
      </c>
      <c r="O410" t="s">
        <v>569</v>
      </c>
      <c r="P410" t="s">
        <v>569</v>
      </c>
      <c r="Q410" t="s">
        <v>569</v>
      </c>
      <c r="R410">
        <v>48.43996344</v>
      </c>
      <c r="S410" t="s">
        <v>1213</v>
      </c>
      <c r="T410">
        <v>-123.4869289</v>
      </c>
      <c r="U410" t="s">
        <v>1206</v>
      </c>
      <c r="V410" t="s">
        <v>569</v>
      </c>
      <c r="W410" t="s">
        <v>569</v>
      </c>
      <c r="X410" t="s">
        <v>569</v>
      </c>
      <c r="Y410" t="s">
        <v>569</v>
      </c>
      <c r="Z410" t="s">
        <v>569</v>
      </c>
      <c r="AA410" t="s">
        <v>1229</v>
      </c>
      <c r="AB410">
        <v>50</v>
      </c>
      <c r="AC41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1" spans="1:29" x14ac:dyDescent="0.25">
      <c r="A411" t="s">
        <v>844</v>
      </c>
      <c r="B411" t="s">
        <v>505</v>
      </c>
      <c r="C411" t="s">
        <v>504</v>
      </c>
      <c r="D411" t="s">
        <v>501</v>
      </c>
      <c r="E411" t="s">
        <v>502</v>
      </c>
      <c r="F411" t="s">
        <v>569</v>
      </c>
      <c r="G411" t="s">
        <v>569</v>
      </c>
      <c r="H411" t="s">
        <v>569</v>
      </c>
      <c r="I411" t="s">
        <v>569</v>
      </c>
      <c r="J411" t="s">
        <v>569</v>
      </c>
      <c r="K411">
        <v>0</v>
      </c>
      <c r="L411" t="s">
        <v>569</v>
      </c>
      <c r="M411" t="s">
        <v>569</v>
      </c>
      <c r="N411" t="s">
        <v>569</v>
      </c>
      <c r="O411" t="s">
        <v>569</v>
      </c>
      <c r="P411" t="s">
        <v>569</v>
      </c>
      <c r="Q411" t="s">
        <v>569</v>
      </c>
      <c r="R411">
        <v>48.461510840000003</v>
      </c>
      <c r="S411" t="s">
        <v>1213</v>
      </c>
      <c r="T411">
        <v>-123.43103170000001</v>
      </c>
      <c r="U411" t="s">
        <v>1206</v>
      </c>
      <c r="V411" t="s">
        <v>569</v>
      </c>
      <c r="W411" t="s">
        <v>569</v>
      </c>
      <c r="X411" t="s">
        <v>569</v>
      </c>
      <c r="Y411" t="s">
        <v>569</v>
      </c>
      <c r="Z411" t="s">
        <v>569</v>
      </c>
      <c r="AA411" t="s">
        <v>1229</v>
      </c>
      <c r="AB411">
        <v>50</v>
      </c>
      <c r="AC4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2" spans="1:29" x14ac:dyDescent="0.25">
      <c r="A412" t="s">
        <v>850</v>
      </c>
      <c r="B412" t="s">
        <v>557</v>
      </c>
      <c r="C412" t="s">
        <v>504</v>
      </c>
      <c r="D412" t="s">
        <v>501</v>
      </c>
      <c r="E412" t="s">
        <v>502</v>
      </c>
      <c r="F412" t="s">
        <v>569</v>
      </c>
      <c r="G412" t="s">
        <v>569</v>
      </c>
      <c r="H412" t="s">
        <v>569</v>
      </c>
      <c r="I412" t="s">
        <v>569</v>
      </c>
      <c r="J412" t="s">
        <v>569</v>
      </c>
      <c r="K412">
        <v>0</v>
      </c>
      <c r="L412" t="s">
        <v>569</v>
      </c>
      <c r="M412" t="s">
        <v>569</v>
      </c>
      <c r="N412" t="s">
        <v>569</v>
      </c>
      <c r="O412" t="s">
        <v>569</v>
      </c>
      <c r="P412" t="s">
        <v>569</v>
      </c>
      <c r="Q412" t="s">
        <v>569</v>
      </c>
      <c r="R412">
        <v>49.876052799999997</v>
      </c>
      <c r="S412" t="s">
        <v>1213</v>
      </c>
      <c r="T412">
        <v>-124.54838100000001</v>
      </c>
      <c r="U412" t="s">
        <v>1206</v>
      </c>
      <c r="V412" t="s">
        <v>569</v>
      </c>
      <c r="W412" t="s">
        <v>569</v>
      </c>
      <c r="X412" t="s">
        <v>569</v>
      </c>
      <c r="Y412" t="s">
        <v>569</v>
      </c>
      <c r="Z412" t="s">
        <v>569</v>
      </c>
      <c r="AA412" t="s">
        <v>1229</v>
      </c>
      <c r="AB412">
        <v>50</v>
      </c>
      <c r="AC4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3" spans="1:29" x14ac:dyDescent="0.25">
      <c r="A413" t="s">
        <v>593</v>
      </c>
      <c r="B413" t="s">
        <v>592</v>
      </c>
      <c r="C413" t="s">
        <v>504</v>
      </c>
      <c r="D413" t="s">
        <v>501</v>
      </c>
      <c r="E413" t="s">
        <v>502</v>
      </c>
      <c r="F413" t="s">
        <v>569</v>
      </c>
      <c r="G413" t="s">
        <v>569</v>
      </c>
      <c r="H413" t="s">
        <v>569</v>
      </c>
      <c r="I413" t="s">
        <v>569</v>
      </c>
      <c r="J413" t="s">
        <v>569</v>
      </c>
      <c r="K413">
        <v>0</v>
      </c>
      <c r="L413" t="s">
        <v>569</v>
      </c>
      <c r="M413" t="s">
        <v>569</v>
      </c>
      <c r="N413" t="s">
        <v>569</v>
      </c>
      <c r="O413" t="s">
        <v>569</v>
      </c>
      <c r="P413" t="s">
        <v>569</v>
      </c>
      <c r="Q413" t="s">
        <v>569</v>
      </c>
      <c r="R413">
        <v>48.93008416</v>
      </c>
      <c r="S413" t="s">
        <v>1213</v>
      </c>
      <c r="T413">
        <v>-125.54064270000001</v>
      </c>
      <c r="U413" t="s">
        <v>1206</v>
      </c>
      <c r="V413" t="s">
        <v>569</v>
      </c>
      <c r="W413" t="s">
        <v>569</v>
      </c>
      <c r="X413" t="s">
        <v>569</v>
      </c>
      <c r="Y413" t="s">
        <v>569</v>
      </c>
      <c r="Z413" t="s">
        <v>569</v>
      </c>
      <c r="AA413" t="s">
        <v>1229</v>
      </c>
      <c r="AB413">
        <v>50</v>
      </c>
      <c r="AC4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4" spans="1:29" x14ac:dyDescent="0.25">
      <c r="A414" t="s">
        <v>1376</v>
      </c>
      <c r="B414" t="s">
        <v>557</v>
      </c>
      <c r="C414" t="s">
        <v>504</v>
      </c>
      <c r="D414" t="s">
        <v>501</v>
      </c>
      <c r="E414" t="s">
        <v>502</v>
      </c>
      <c r="F414" t="s">
        <v>569</v>
      </c>
      <c r="G414" t="s">
        <v>569</v>
      </c>
      <c r="H414" t="s">
        <v>569</v>
      </c>
      <c r="I414" t="s">
        <v>569</v>
      </c>
      <c r="J414" t="s">
        <v>569</v>
      </c>
      <c r="K414" t="s">
        <v>569</v>
      </c>
      <c r="L414" t="s">
        <v>569</v>
      </c>
      <c r="M414" t="s">
        <v>569</v>
      </c>
      <c r="N414" t="s">
        <v>569</v>
      </c>
      <c r="O414" t="s">
        <v>569</v>
      </c>
      <c r="P414" t="s">
        <v>569</v>
      </c>
      <c r="Q414" t="s">
        <v>569</v>
      </c>
      <c r="R414" t="s">
        <v>569</v>
      </c>
      <c r="S414" t="s">
        <v>569</v>
      </c>
      <c r="T414" t="s">
        <v>569</v>
      </c>
      <c r="U414" t="s">
        <v>569</v>
      </c>
      <c r="V414" t="s">
        <v>569</v>
      </c>
      <c r="W414" t="s">
        <v>569</v>
      </c>
      <c r="X414" t="s">
        <v>569</v>
      </c>
      <c r="Y414" t="s">
        <v>569</v>
      </c>
      <c r="Z414" t="s">
        <v>569</v>
      </c>
      <c r="AA414" t="s">
        <v>569</v>
      </c>
      <c r="AB414">
        <v>50</v>
      </c>
      <c r="AC41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5" spans="1:29" x14ac:dyDescent="0.25">
      <c r="A415" t="s">
        <v>1419</v>
      </c>
      <c r="B415" t="s">
        <v>505</v>
      </c>
      <c r="C415" t="s">
        <v>504</v>
      </c>
      <c r="D415" t="s">
        <v>501</v>
      </c>
      <c r="E415" t="s">
        <v>502</v>
      </c>
      <c r="F415" t="s">
        <v>569</v>
      </c>
      <c r="G415" t="s">
        <v>569</v>
      </c>
      <c r="H415" t="s">
        <v>569</v>
      </c>
      <c r="I415" t="s">
        <v>569</v>
      </c>
      <c r="J415" t="s">
        <v>569</v>
      </c>
      <c r="K415" t="s">
        <v>569</v>
      </c>
      <c r="L415" t="s">
        <v>569</v>
      </c>
      <c r="M415" t="s">
        <v>569</v>
      </c>
      <c r="N415" t="s">
        <v>569</v>
      </c>
      <c r="O415" t="s">
        <v>569</v>
      </c>
      <c r="P415" t="s">
        <v>569</v>
      </c>
      <c r="Q415" t="s">
        <v>569</v>
      </c>
      <c r="R415" t="s">
        <v>569</v>
      </c>
      <c r="S415" t="s">
        <v>569</v>
      </c>
      <c r="T415" t="s">
        <v>569</v>
      </c>
      <c r="U415" t="s">
        <v>569</v>
      </c>
      <c r="V415" t="s">
        <v>569</v>
      </c>
      <c r="W415" t="s">
        <v>569</v>
      </c>
      <c r="X415" t="s">
        <v>569</v>
      </c>
      <c r="Y415" t="s">
        <v>569</v>
      </c>
      <c r="Z415" t="s">
        <v>569</v>
      </c>
      <c r="AA415" t="s">
        <v>569</v>
      </c>
      <c r="AB415">
        <v>50</v>
      </c>
      <c r="AC41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6" spans="1:29" x14ac:dyDescent="0.25">
      <c r="A416" t="s">
        <v>691</v>
      </c>
      <c r="B416" t="s">
        <v>675</v>
      </c>
      <c r="C416" t="s">
        <v>677</v>
      </c>
      <c r="D416" t="s">
        <v>522</v>
      </c>
      <c r="E416" t="s">
        <v>523</v>
      </c>
      <c r="F416" t="s">
        <v>569</v>
      </c>
      <c r="G416" t="s">
        <v>569</v>
      </c>
      <c r="H416" t="s">
        <v>569</v>
      </c>
      <c r="I416" t="s">
        <v>569</v>
      </c>
      <c r="J416" t="s">
        <v>569</v>
      </c>
      <c r="K416">
        <v>0</v>
      </c>
      <c r="L416" t="s">
        <v>569</v>
      </c>
      <c r="M416" t="s">
        <v>569</v>
      </c>
      <c r="N416" t="s">
        <v>569</v>
      </c>
      <c r="O416" t="s">
        <v>569</v>
      </c>
      <c r="P416" t="s">
        <v>569</v>
      </c>
      <c r="Q416" t="s">
        <v>569</v>
      </c>
      <c r="R416">
        <v>-31.42937032</v>
      </c>
      <c r="S416" t="s">
        <v>1111</v>
      </c>
      <c r="T416">
        <v>152.9100564</v>
      </c>
      <c r="U416" t="s">
        <v>1201</v>
      </c>
      <c r="V416" t="s">
        <v>569</v>
      </c>
      <c r="W416" t="s">
        <v>569</v>
      </c>
      <c r="X416" t="s">
        <v>569</v>
      </c>
      <c r="Y416" t="s">
        <v>569</v>
      </c>
      <c r="Z416" s="9">
        <v>0</v>
      </c>
      <c r="AA416" t="s">
        <v>1229</v>
      </c>
      <c r="AB416">
        <v>50</v>
      </c>
      <c r="AC4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7" spans="1:29" x14ac:dyDescent="0.25">
      <c r="A417" t="s">
        <v>841</v>
      </c>
      <c r="B417" t="s">
        <v>505</v>
      </c>
      <c r="C417" t="s">
        <v>504</v>
      </c>
      <c r="D417" t="s">
        <v>501</v>
      </c>
      <c r="E417" t="s">
        <v>502</v>
      </c>
      <c r="F417" t="s">
        <v>569</v>
      </c>
      <c r="G417" t="s">
        <v>569</v>
      </c>
      <c r="H417" t="s">
        <v>569</v>
      </c>
      <c r="I417" t="s">
        <v>569</v>
      </c>
      <c r="J417" t="s">
        <v>569</v>
      </c>
      <c r="K417">
        <v>0</v>
      </c>
      <c r="L417" t="s">
        <v>569</v>
      </c>
      <c r="M417" t="s">
        <v>569</v>
      </c>
      <c r="N417" t="s">
        <v>569</v>
      </c>
      <c r="O417" t="s">
        <v>569</v>
      </c>
      <c r="P417" t="s">
        <v>569</v>
      </c>
      <c r="Q417" t="s">
        <v>569</v>
      </c>
      <c r="R417">
        <v>48.469154830000001</v>
      </c>
      <c r="S417" t="s">
        <v>1213</v>
      </c>
      <c r="T417">
        <v>-123.4023535</v>
      </c>
      <c r="U417" t="s">
        <v>1206</v>
      </c>
      <c r="V417" t="s">
        <v>569</v>
      </c>
      <c r="W417" t="s">
        <v>569</v>
      </c>
      <c r="X417" t="s">
        <v>569</v>
      </c>
      <c r="Y417" t="s">
        <v>569</v>
      </c>
      <c r="Z417" t="s">
        <v>569</v>
      </c>
      <c r="AA417" t="s">
        <v>1229</v>
      </c>
      <c r="AB417">
        <v>50</v>
      </c>
      <c r="AC4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8" spans="1:29" x14ac:dyDescent="0.25">
      <c r="A418" t="s">
        <v>886</v>
      </c>
      <c r="B418" t="s">
        <v>513</v>
      </c>
      <c r="C418" t="s">
        <v>504</v>
      </c>
      <c r="D418" t="s">
        <v>501</v>
      </c>
      <c r="E418" t="s">
        <v>502</v>
      </c>
      <c r="F418" t="s">
        <v>569</v>
      </c>
      <c r="G418" t="s">
        <v>569</v>
      </c>
      <c r="H418" t="s">
        <v>569</v>
      </c>
      <c r="I418" t="s">
        <v>569</v>
      </c>
      <c r="J418" t="s">
        <v>569</v>
      </c>
      <c r="K418">
        <v>0</v>
      </c>
      <c r="L418" t="s">
        <v>569</v>
      </c>
      <c r="M418" t="s">
        <v>569</v>
      </c>
      <c r="N418" t="s">
        <v>569</v>
      </c>
      <c r="O418" t="s">
        <v>569</v>
      </c>
      <c r="P418" t="s">
        <v>569</v>
      </c>
      <c r="Q418" t="s">
        <v>569</v>
      </c>
      <c r="R418">
        <v>49.28514955</v>
      </c>
      <c r="S418" t="s">
        <v>1213</v>
      </c>
      <c r="T418">
        <v>-123.1205526</v>
      </c>
      <c r="U418" t="s">
        <v>1206</v>
      </c>
      <c r="V418" t="s">
        <v>569</v>
      </c>
      <c r="W418" t="s">
        <v>569</v>
      </c>
      <c r="X418" t="s">
        <v>569</v>
      </c>
      <c r="Y418" t="s">
        <v>569</v>
      </c>
      <c r="Z418" t="s">
        <v>569</v>
      </c>
      <c r="AA418" t="s">
        <v>1229</v>
      </c>
      <c r="AB418">
        <v>50</v>
      </c>
      <c r="AC4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19" spans="1:29" x14ac:dyDescent="0.25">
      <c r="A419" t="s">
        <v>765</v>
      </c>
      <c r="B419" t="s">
        <v>764</v>
      </c>
      <c r="C419" t="s">
        <v>764</v>
      </c>
      <c r="D419" t="s">
        <v>756</v>
      </c>
      <c r="E419" t="s">
        <v>757</v>
      </c>
      <c r="F419" t="s">
        <v>569</v>
      </c>
      <c r="G419" t="s">
        <v>569</v>
      </c>
      <c r="H419" t="s">
        <v>569</v>
      </c>
      <c r="I419" t="s">
        <v>569</v>
      </c>
      <c r="J419" t="s">
        <v>569</v>
      </c>
      <c r="K419">
        <v>0</v>
      </c>
      <c r="L419" t="s">
        <v>569</v>
      </c>
      <c r="M419" t="s">
        <v>569</v>
      </c>
      <c r="N419" t="s">
        <v>569</v>
      </c>
      <c r="O419" t="s">
        <v>569</v>
      </c>
      <c r="P419" t="s">
        <v>569</v>
      </c>
      <c r="Q419" t="s">
        <v>569</v>
      </c>
      <c r="R419">
        <v>11.556466690000001</v>
      </c>
      <c r="S419" t="s">
        <v>1213</v>
      </c>
      <c r="T419">
        <v>104.9282584</v>
      </c>
      <c r="U419" t="s">
        <v>1201</v>
      </c>
      <c r="V419" t="s">
        <v>569</v>
      </c>
      <c r="W419" t="s">
        <v>569</v>
      </c>
      <c r="X419" t="s">
        <v>569</v>
      </c>
      <c r="Y419" t="s">
        <v>569</v>
      </c>
      <c r="Z419" t="s">
        <v>569</v>
      </c>
      <c r="AA419" t="s">
        <v>1229</v>
      </c>
      <c r="AB419">
        <v>50</v>
      </c>
      <c r="AC4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0" spans="1:29" x14ac:dyDescent="0.25">
      <c r="A420" t="s">
        <v>1371</v>
      </c>
      <c r="B420" t="s">
        <v>557</v>
      </c>
      <c r="C420" t="s">
        <v>504</v>
      </c>
      <c r="D420" t="s">
        <v>501</v>
      </c>
      <c r="E420" t="s">
        <v>502</v>
      </c>
      <c r="F420" t="s">
        <v>569</v>
      </c>
      <c r="G420" t="s">
        <v>569</v>
      </c>
      <c r="H420" t="s">
        <v>569</v>
      </c>
      <c r="I420" t="s">
        <v>569</v>
      </c>
      <c r="J420" t="s">
        <v>569</v>
      </c>
      <c r="K420" t="s">
        <v>569</v>
      </c>
      <c r="L420" t="s">
        <v>569</v>
      </c>
      <c r="M420" t="s">
        <v>569</v>
      </c>
      <c r="N420" t="s">
        <v>569</v>
      </c>
      <c r="O420" t="s">
        <v>569</v>
      </c>
      <c r="P420" t="s">
        <v>569</v>
      </c>
      <c r="Q420" t="s">
        <v>569</v>
      </c>
      <c r="R420" t="s">
        <v>569</v>
      </c>
      <c r="S420" t="s">
        <v>569</v>
      </c>
      <c r="T420" t="s">
        <v>569</v>
      </c>
      <c r="U420" t="s">
        <v>569</v>
      </c>
      <c r="V420" t="s">
        <v>569</v>
      </c>
      <c r="W420" t="s">
        <v>569</v>
      </c>
      <c r="X420" t="s">
        <v>569</v>
      </c>
      <c r="Y420" t="s">
        <v>569</v>
      </c>
      <c r="Z420" t="s">
        <v>569</v>
      </c>
      <c r="AA420" t="s">
        <v>569</v>
      </c>
      <c r="AB420">
        <v>50</v>
      </c>
      <c r="AC42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1" spans="1:29" x14ac:dyDescent="0.25">
      <c r="A421" t="s">
        <v>586</v>
      </c>
      <c r="B421" t="s">
        <v>505</v>
      </c>
      <c r="C421" t="s">
        <v>504</v>
      </c>
      <c r="D421" t="s">
        <v>501</v>
      </c>
      <c r="E421" t="s">
        <v>502</v>
      </c>
      <c r="F421" t="s">
        <v>569</v>
      </c>
      <c r="G421" t="s">
        <v>569</v>
      </c>
      <c r="H421" t="s">
        <v>569</v>
      </c>
      <c r="I421" t="s">
        <v>569</v>
      </c>
      <c r="J421" t="s">
        <v>569</v>
      </c>
      <c r="K421">
        <v>0</v>
      </c>
      <c r="L421" t="s">
        <v>569</v>
      </c>
      <c r="M421" t="s">
        <v>569</v>
      </c>
      <c r="N421" t="s">
        <v>569</v>
      </c>
      <c r="O421" t="s">
        <v>569</v>
      </c>
      <c r="P421" t="s">
        <v>569</v>
      </c>
      <c r="Q421" t="s">
        <v>569</v>
      </c>
      <c r="R421">
        <v>48.421938590000003</v>
      </c>
      <c r="S421" t="s">
        <v>1213</v>
      </c>
      <c r="T421">
        <v>-123.3679891</v>
      </c>
      <c r="U421" t="s">
        <v>1206</v>
      </c>
      <c r="V421" t="s">
        <v>569</v>
      </c>
      <c r="W421" t="s">
        <v>569</v>
      </c>
      <c r="X421" t="s">
        <v>569</v>
      </c>
      <c r="Y421" t="s">
        <v>569</v>
      </c>
      <c r="Z421" s="9">
        <v>0</v>
      </c>
      <c r="AA421" t="s">
        <v>1229</v>
      </c>
      <c r="AB421">
        <v>50</v>
      </c>
      <c r="AC4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2" spans="1:29" x14ac:dyDescent="0.25">
      <c r="A422" t="s">
        <v>1358</v>
      </c>
      <c r="B422" t="s">
        <v>1017</v>
      </c>
      <c r="C422" t="s">
        <v>504</v>
      </c>
      <c r="D422" t="s">
        <v>501</v>
      </c>
      <c r="E422" t="s">
        <v>502</v>
      </c>
      <c r="F422" t="s">
        <v>569</v>
      </c>
      <c r="G422" t="s">
        <v>569</v>
      </c>
      <c r="H422" t="s">
        <v>569</v>
      </c>
      <c r="I422" t="s">
        <v>569</v>
      </c>
      <c r="J422" t="s">
        <v>569</v>
      </c>
      <c r="K422" t="s">
        <v>569</v>
      </c>
      <c r="L422" t="s">
        <v>569</v>
      </c>
      <c r="M422" t="s">
        <v>569</v>
      </c>
      <c r="N422" t="s">
        <v>569</v>
      </c>
      <c r="O422" t="s">
        <v>569</v>
      </c>
      <c r="P422" t="s">
        <v>569</v>
      </c>
      <c r="Q422" t="s">
        <v>569</v>
      </c>
      <c r="R422" t="s">
        <v>569</v>
      </c>
      <c r="S422" t="s">
        <v>569</v>
      </c>
      <c r="T422" t="s">
        <v>569</v>
      </c>
      <c r="U422" t="s">
        <v>569</v>
      </c>
      <c r="V422" t="s">
        <v>569</v>
      </c>
      <c r="W422" t="s">
        <v>569</v>
      </c>
      <c r="X422" t="s">
        <v>569</v>
      </c>
      <c r="Y422" t="s">
        <v>569</v>
      </c>
      <c r="Z422" t="s">
        <v>569</v>
      </c>
      <c r="AA422" t="s">
        <v>569</v>
      </c>
      <c r="AB422">
        <v>50</v>
      </c>
      <c r="AC42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3" spans="1:29" x14ac:dyDescent="0.25">
      <c r="A423" t="s">
        <v>612</v>
      </c>
      <c r="B423" t="s">
        <v>609</v>
      </c>
      <c r="C423" t="s">
        <v>613</v>
      </c>
      <c r="D423" t="s">
        <v>610</v>
      </c>
      <c r="E423" t="s">
        <v>611</v>
      </c>
      <c r="F423" t="s">
        <v>569</v>
      </c>
      <c r="G423" t="s">
        <v>569</v>
      </c>
      <c r="H423" t="s">
        <v>569</v>
      </c>
      <c r="I423" t="s">
        <v>569</v>
      </c>
      <c r="J423" t="s">
        <v>569</v>
      </c>
      <c r="K423">
        <v>0</v>
      </c>
      <c r="L423" t="s">
        <v>569</v>
      </c>
      <c r="M423" t="s">
        <v>569</v>
      </c>
      <c r="N423" t="s">
        <v>569</v>
      </c>
      <c r="O423" t="s">
        <v>569</v>
      </c>
      <c r="P423" t="s">
        <v>569</v>
      </c>
      <c r="Q423" t="s">
        <v>569</v>
      </c>
      <c r="R423">
        <v>35.958469829999999</v>
      </c>
      <c r="S423" t="s">
        <v>1213</v>
      </c>
      <c r="T423">
        <v>139.8658356</v>
      </c>
      <c r="U423" t="s">
        <v>1201</v>
      </c>
      <c r="V423" t="s">
        <v>569</v>
      </c>
      <c r="W423" t="s">
        <v>569</v>
      </c>
      <c r="X423" t="s">
        <v>569</v>
      </c>
      <c r="Y423" t="s">
        <v>569</v>
      </c>
      <c r="Z423" t="s">
        <v>569</v>
      </c>
      <c r="AA423" t="s">
        <v>1229</v>
      </c>
      <c r="AB423">
        <v>50</v>
      </c>
      <c r="AC42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4" spans="1:29" x14ac:dyDescent="0.25">
      <c r="A424" t="s">
        <v>812</v>
      </c>
      <c r="B424" t="s">
        <v>505</v>
      </c>
      <c r="C424" t="s">
        <v>504</v>
      </c>
      <c r="D424" t="s">
        <v>501</v>
      </c>
      <c r="E424" t="s">
        <v>502</v>
      </c>
      <c r="F424" t="s">
        <v>569</v>
      </c>
      <c r="G424" t="s">
        <v>569</v>
      </c>
      <c r="H424" t="s">
        <v>569</v>
      </c>
      <c r="I424" t="s">
        <v>569</v>
      </c>
      <c r="J424">
        <v>5.5984150000000003E-2</v>
      </c>
      <c r="K424">
        <v>0</v>
      </c>
      <c r="L424" t="s">
        <v>569</v>
      </c>
      <c r="M424" t="s">
        <v>569</v>
      </c>
      <c r="N424" t="s">
        <v>569</v>
      </c>
      <c r="O424" t="s">
        <v>569</v>
      </c>
      <c r="P424">
        <v>280.84494089999998</v>
      </c>
      <c r="Q424" t="s">
        <v>1204</v>
      </c>
      <c r="R424">
        <v>48.573266340000004</v>
      </c>
      <c r="S424" t="s">
        <v>1213</v>
      </c>
      <c r="T424">
        <v>-123.3665984</v>
      </c>
      <c r="U424" t="s">
        <v>1206</v>
      </c>
      <c r="V424" t="s">
        <v>1231</v>
      </c>
      <c r="W424" t="s">
        <v>569</v>
      </c>
      <c r="X424" t="s">
        <v>569</v>
      </c>
      <c r="Y424" t="s">
        <v>569</v>
      </c>
      <c r="Z424" t="s">
        <v>569</v>
      </c>
      <c r="AA424" t="s">
        <v>1229</v>
      </c>
      <c r="AB424">
        <v>50</v>
      </c>
      <c r="AC4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5" spans="1:29" x14ac:dyDescent="0.25">
      <c r="A425" t="s">
        <v>1372</v>
      </c>
      <c r="B425" t="s">
        <v>557</v>
      </c>
      <c r="C425" t="s">
        <v>504</v>
      </c>
      <c r="D425" t="s">
        <v>501</v>
      </c>
      <c r="E425" t="s">
        <v>502</v>
      </c>
      <c r="F425" t="s">
        <v>569</v>
      </c>
      <c r="G425" t="s">
        <v>569</v>
      </c>
      <c r="H425" t="s">
        <v>569</v>
      </c>
      <c r="I425" t="s">
        <v>569</v>
      </c>
      <c r="J425" t="s">
        <v>569</v>
      </c>
      <c r="K425" t="s">
        <v>569</v>
      </c>
      <c r="L425" t="s">
        <v>569</v>
      </c>
      <c r="M425" t="s">
        <v>569</v>
      </c>
      <c r="N425" t="s">
        <v>569</v>
      </c>
      <c r="O425" t="s">
        <v>569</v>
      </c>
      <c r="P425" t="s">
        <v>569</v>
      </c>
      <c r="Q425" t="s">
        <v>569</v>
      </c>
      <c r="R425" t="s">
        <v>569</v>
      </c>
      <c r="S425" t="s">
        <v>569</v>
      </c>
      <c r="T425" t="s">
        <v>569</v>
      </c>
      <c r="U425" t="s">
        <v>569</v>
      </c>
      <c r="V425" t="s">
        <v>569</v>
      </c>
      <c r="W425" t="s">
        <v>569</v>
      </c>
      <c r="X425" t="s">
        <v>569</v>
      </c>
      <c r="Y425" t="s">
        <v>569</v>
      </c>
      <c r="Z425" t="s">
        <v>569</v>
      </c>
      <c r="AA425" t="s">
        <v>569</v>
      </c>
      <c r="AB425">
        <v>50</v>
      </c>
      <c r="AC42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6" spans="1:29" x14ac:dyDescent="0.25">
      <c r="A426" t="s">
        <v>622</v>
      </c>
      <c r="B426" t="s">
        <v>619</v>
      </c>
      <c r="C426" t="s">
        <v>621</v>
      </c>
      <c r="D426" t="s">
        <v>610</v>
      </c>
      <c r="E426" t="s">
        <v>611</v>
      </c>
      <c r="F426" t="s">
        <v>569</v>
      </c>
      <c r="G426" t="s">
        <v>569</v>
      </c>
      <c r="H426" t="s">
        <v>569</v>
      </c>
      <c r="I426" t="s">
        <v>569</v>
      </c>
      <c r="J426" t="s">
        <v>569</v>
      </c>
      <c r="K426">
        <v>0</v>
      </c>
      <c r="L426" t="s">
        <v>569</v>
      </c>
      <c r="M426" t="s">
        <v>569</v>
      </c>
      <c r="N426" t="s">
        <v>569</v>
      </c>
      <c r="O426" t="s">
        <v>569</v>
      </c>
      <c r="P426" t="s">
        <v>569</v>
      </c>
      <c r="Q426" t="s">
        <v>569</v>
      </c>
      <c r="R426">
        <v>35.009102200000001</v>
      </c>
      <c r="S426" t="s">
        <v>1213</v>
      </c>
      <c r="T426">
        <v>135.67482229999999</v>
      </c>
      <c r="U426" t="s">
        <v>1201</v>
      </c>
      <c r="V426" t="s">
        <v>569</v>
      </c>
      <c r="W426" t="s">
        <v>569</v>
      </c>
      <c r="X426" t="s">
        <v>569</v>
      </c>
      <c r="Y426" t="s">
        <v>569</v>
      </c>
      <c r="Z426" t="s">
        <v>569</v>
      </c>
      <c r="AA426" t="s">
        <v>1229</v>
      </c>
      <c r="AB426">
        <v>50</v>
      </c>
      <c r="AC4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7" spans="1:29" x14ac:dyDescent="0.25">
      <c r="A427" t="s">
        <v>899</v>
      </c>
      <c r="B427" t="s">
        <v>896</v>
      </c>
      <c r="C427" t="s">
        <v>504</v>
      </c>
      <c r="D427" t="s">
        <v>501</v>
      </c>
      <c r="E427" t="s">
        <v>502</v>
      </c>
      <c r="F427" t="s">
        <v>569</v>
      </c>
      <c r="G427" t="s">
        <v>569</v>
      </c>
      <c r="H427" t="s">
        <v>569</v>
      </c>
      <c r="I427" t="s">
        <v>569</v>
      </c>
      <c r="J427" t="s">
        <v>569</v>
      </c>
      <c r="K427">
        <v>0</v>
      </c>
      <c r="L427" t="s">
        <v>569</v>
      </c>
      <c r="M427" t="s">
        <v>569</v>
      </c>
      <c r="N427" t="s">
        <v>569</v>
      </c>
      <c r="O427" t="s">
        <v>569</v>
      </c>
      <c r="P427" t="s">
        <v>569</v>
      </c>
      <c r="Q427" t="s">
        <v>569</v>
      </c>
      <c r="R427">
        <v>48.832781050000001</v>
      </c>
      <c r="S427" t="s">
        <v>1213</v>
      </c>
      <c r="T427">
        <v>-123.31616339999999</v>
      </c>
      <c r="U427" t="s">
        <v>1206</v>
      </c>
      <c r="V427" t="s">
        <v>569</v>
      </c>
      <c r="W427" t="s">
        <v>569</v>
      </c>
      <c r="X427" t="s">
        <v>569</v>
      </c>
      <c r="Y427" t="s">
        <v>569</v>
      </c>
      <c r="Z427" t="s">
        <v>569</v>
      </c>
      <c r="AA427" t="s">
        <v>1229</v>
      </c>
      <c r="AB427">
        <v>50</v>
      </c>
      <c r="AC4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8" spans="1:29" x14ac:dyDescent="0.25">
      <c r="A428" t="s">
        <v>581</v>
      </c>
      <c r="B428" t="s">
        <v>557</v>
      </c>
      <c r="C428" t="s">
        <v>504</v>
      </c>
      <c r="D428" t="s">
        <v>501</v>
      </c>
      <c r="E428" t="s">
        <v>502</v>
      </c>
      <c r="F428" t="s">
        <v>569</v>
      </c>
      <c r="G428" t="s">
        <v>569</v>
      </c>
      <c r="H428" t="s">
        <v>569</v>
      </c>
      <c r="I428" t="s">
        <v>569</v>
      </c>
      <c r="J428" t="s">
        <v>569</v>
      </c>
      <c r="K428">
        <v>0</v>
      </c>
      <c r="L428" t="s">
        <v>569</v>
      </c>
      <c r="M428" t="s">
        <v>569</v>
      </c>
      <c r="N428" t="s">
        <v>569</v>
      </c>
      <c r="O428" t="s">
        <v>569</v>
      </c>
      <c r="P428" t="s">
        <v>569</v>
      </c>
      <c r="Q428" t="s">
        <v>569</v>
      </c>
      <c r="R428">
        <v>49.826840650000001</v>
      </c>
      <c r="S428" t="s">
        <v>1213</v>
      </c>
      <c r="T428">
        <v>-124.50791719999999</v>
      </c>
      <c r="U428" t="s">
        <v>1206</v>
      </c>
      <c r="V428" t="s">
        <v>569</v>
      </c>
      <c r="W428" t="s">
        <v>569</v>
      </c>
      <c r="X428" t="s">
        <v>569</v>
      </c>
      <c r="Y428" t="s">
        <v>569</v>
      </c>
      <c r="Z428" t="s">
        <v>569</v>
      </c>
      <c r="AA428" t="s">
        <v>1229</v>
      </c>
      <c r="AB428">
        <v>50</v>
      </c>
      <c r="AC4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29" spans="1:29" x14ac:dyDescent="0.25">
      <c r="A429" t="s">
        <v>1288</v>
      </c>
      <c r="B429" t="s">
        <v>686</v>
      </c>
      <c r="C429" t="s">
        <v>677</v>
      </c>
      <c r="D429" t="s">
        <v>522</v>
      </c>
      <c r="E429" t="s">
        <v>523</v>
      </c>
      <c r="F429" t="s">
        <v>569</v>
      </c>
      <c r="G429" t="s">
        <v>569</v>
      </c>
      <c r="H429" t="s">
        <v>569</v>
      </c>
      <c r="I429" t="s">
        <v>569</v>
      </c>
      <c r="J429" t="s">
        <v>569</v>
      </c>
      <c r="K429" t="s">
        <v>569</v>
      </c>
      <c r="L429" t="s">
        <v>569</v>
      </c>
      <c r="M429" t="s">
        <v>569</v>
      </c>
      <c r="N429" t="s">
        <v>569</v>
      </c>
      <c r="O429" t="s">
        <v>569</v>
      </c>
      <c r="P429" t="s">
        <v>569</v>
      </c>
      <c r="Q429" t="s">
        <v>569</v>
      </c>
      <c r="R429" t="s">
        <v>569</v>
      </c>
      <c r="S429" t="s">
        <v>569</v>
      </c>
      <c r="T429" t="s">
        <v>569</v>
      </c>
      <c r="U429" t="s">
        <v>569</v>
      </c>
      <c r="V429" t="s">
        <v>569</v>
      </c>
      <c r="W429" t="s">
        <v>569</v>
      </c>
      <c r="X429" t="s">
        <v>569</v>
      </c>
      <c r="Y429" t="s">
        <v>569</v>
      </c>
      <c r="Z429" t="s">
        <v>569</v>
      </c>
      <c r="AA429" t="s">
        <v>569</v>
      </c>
      <c r="AB429">
        <v>50</v>
      </c>
      <c r="AC42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0" spans="1:29" x14ac:dyDescent="0.25">
      <c r="A430" t="s">
        <v>759</v>
      </c>
      <c r="B430" t="s">
        <v>572</v>
      </c>
      <c r="C430" t="s">
        <v>504</v>
      </c>
      <c r="D430" t="s">
        <v>501</v>
      </c>
      <c r="E430" t="s">
        <v>502</v>
      </c>
      <c r="F430" t="s">
        <v>569</v>
      </c>
      <c r="G430" t="s">
        <v>569</v>
      </c>
      <c r="H430" t="s">
        <v>569</v>
      </c>
      <c r="I430" t="s">
        <v>569</v>
      </c>
      <c r="J430" t="s">
        <v>569</v>
      </c>
      <c r="K430">
        <v>0</v>
      </c>
      <c r="L430" t="s">
        <v>569</v>
      </c>
      <c r="M430" t="s">
        <v>569</v>
      </c>
      <c r="N430" t="s">
        <v>569</v>
      </c>
      <c r="O430" t="s">
        <v>569</v>
      </c>
      <c r="P430" t="s">
        <v>569</v>
      </c>
      <c r="Q430" t="s">
        <v>569</v>
      </c>
      <c r="R430">
        <v>48.912081729999997</v>
      </c>
      <c r="S430" t="s">
        <v>1213</v>
      </c>
      <c r="T430">
        <v>-123.5280412</v>
      </c>
      <c r="U430" t="s">
        <v>1206</v>
      </c>
      <c r="V430" t="s">
        <v>569</v>
      </c>
      <c r="W430" t="s">
        <v>569</v>
      </c>
      <c r="X430" t="s">
        <v>569</v>
      </c>
      <c r="Y430" t="s">
        <v>569</v>
      </c>
      <c r="Z430" t="s">
        <v>569</v>
      </c>
      <c r="AA430" t="s">
        <v>1230</v>
      </c>
      <c r="AB430">
        <v>50</v>
      </c>
      <c r="AC4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1" spans="1:29" x14ac:dyDescent="0.25">
      <c r="A431" t="s">
        <v>751</v>
      </c>
      <c r="B431" t="s">
        <v>516</v>
      </c>
      <c r="C431" t="s">
        <v>504</v>
      </c>
      <c r="D431" t="s">
        <v>501</v>
      </c>
      <c r="E431" t="s">
        <v>502</v>
      </c>
      <c r="F431" t="s">
        <v>569</v>
      </c>
      <c r="G431" t="s">
        <v>569</v>
      </c>
      <c r="H431" t="s">
        <v>569</v>
      </c>
      <c r="I431" t="s">
        <v>569</v>
      </c>
      <c r="J431" t="s">
        <v>569</v>
      </c>
      <c r="K431">
        <v>0</v>
      </c>
      <c r="L431" t="s">
        <v>569</v>
      </c>
      <c r="M431" t="s">
        <v>569</v>
      </c>
      <c r="N431" t="s">
        <v>569</v>
      </c>
      <c r="O431" t="s">
        <v>569</v>
      </c>
      <c r="P431" t="s">
        <v>569</v>
      </c>
      <c r="Q431" t="s">
        <v>569</v>
      </c>
      <c r="R431">
        <v>49.272123870000001</v>
      </c>
      <c r="S431" t="s">
        <v>1213</v>
      </c>
      <c r="T431">
        <v>-122.8841695</v>
      </c>
      <c r="U431" t="s">
        <v>1206</v>
      </c>
      <c r="V431" t="s">
        <v>569</v>
      </c>
      <c r="W431" t="s">
        <v>569</v>
      </c>
      <c r="X431" t="s">
        <v>569</v>
      </c>
      <c r="Y431" t="s">
        <v>569</v>
      </c>
      <c r="Z431" t="s">
        <v>569</v>
      </c>
      <c r="AA431" t="s">
        <v>1229</v>
      </c>
      <c r="AB431">
        <v>50</v>
      </c>
      <c r="AC43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2" spans="1:29" x14ac:dyDescent="0.25">
      <c r="A432" t="s">
        <v>910</v>
      </c>
      <c r="B432" t="s">
        <v>533</v>
      </c>
      <c r="C432" t="s">
        <v>504</v>
      </c>
      <c r="D432" t="s">
        <v>501</v>
      </c>
      <c r="E432" t="s">
        <v>502</v>
      </c>
      <c r="F432" t="s">
        <v>569</v>
      </c>
      <c r="G432" t="s">
        <v>569</v>
      </c>
      <c r="H432" t="s">
        <v>569</v>
      </c>
      <c r="I432" t="s">
        <v>569</v>
      </c>
      <c r="J432" t="s">
        <v>569</v>
      </c>
      <c r="K432">
        <v>0</v>
      </c>
      <c r="L432" t="s">
        <v>569</v>
      </c>
      <c r="M432" t="s">
        <v>569</v>
      </c>
      <c r="N432" t="s">
        <v>569</v>
      </c>
      <c r="O432" t="s">
        <v>569</v>
      </c>
      <c r="P432" t="s">
        <v>569</v>
      </c>
      <c r="Q432" t="s">
        <v>569</v>
      </c>
      <c r="R432">
        <v>48.387552999999997</v>
      </c>
      <c r="S432" t="s">
        <v>1213</v>
      </c>
      <c r="T432">
        <v>-123.717204</v>
      </c>
      <c r="U432" t="s">
        <v>1206</v>
      </c>
      <c r="V432" t="s">
        <v>569</v>
      </c>
      <c r="W432" t="s">
        <v>569</v>
      </c>
      <c r="X432" t="s">
        <v>569</v>
      </c>
      <c r="Y432" t="s">
        <v>569</v>
      </c>
      <c r="Z432" t="s">
        <v>569</v>
      </c>
      <c r="AA432" t="s">
        <v>1229</v>
      </c>
      <c r="AB432">
        <v>50</v>
      </c>
      <c r="AC4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3" spans="1:29" x14ac:dyDescent="0.25">
      <c r="A433" t="s">
        <v>1422</v>
      </c>
      <c r="B433" t="s">
        <v>1025</v>
      </c>
      <c r="C433" t="s">
        <v>1282</v>
      </c>
      <c r="D433" t="s">
        <v>652</v>
      </c>
      <c r="E433" t="s">
        <v>653</v>
      </c>
      <c r="F433" t="s">
        <v>569</v>
      </c>
      <c r="G433" t="s">
        <v>569</v>
      </c>
      <c r="H433" t="s">
        <v>569</v>
      </c>
      <c r="I433" t="s">
        <v>569</v>
      </c>
      <c r="J433" t="s">
        <v>569</v>
      </c>
      <c r="K433" t="s">
        <v>569</v>
      </c>
      <c r="L433" t="s">
        <v>569</v>
      </c>
      <c r="M433" t="s">
        <v>569</v>
      </c>
      <c r="N433" t="s">
        <v>569</v>
      </c>
      <c r="O433" t="s">
        <v>569</v>
      </c>
      <c r="P433" t="s">
        <v>569</v>
      </c>
      <c r="Q433" t="s">
        <v>569</v>
      </c>
      <c r="R433" t="s">
        <v>569</v>
      </c>
      <c r="S433" t="s">
        <v>569</v>
      </c>
      <c r="T433" t="s">
        <v>569</v>
      </c>
      <c r="U433" t="s">
        <v>569</v>
      </c>
      <c r="V433" t="s">
        <v>569</v>
      </c>
      <c r="W433" t="s">
        <v>569</v>
      </c>
      <c r="X433" t="s">
        <v>569</v>
      </c>
      <c r="Y433" t="s">
        <v>569</v>
      </c>
      <c r="Z433" t="s">
        <v>569</v>
      </c>
      <c r="AA433" t="s">
        <v>569</v>
      </c>
      <c r="AB433">
        <v>50</v>
      </c>
      <c r="AC43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4" spans="1:29" x14ac:dyDescent="0.25">
      <c r="A434" t="s">
        <v>687</v>
      </c>
      <c r="B434" t="s">
        <v>686</v>
      </c>
      <c r="C434" t="s">
        <v>677</v>
      </c>
      <c r="D434" t="s">
        <v>522</v>
      </c>
      <c r="E434" t="s">
        <v>523</v>
      </c>
      <c r="F434" t="s">
        <v>569</v>
      </c>
      <c r="G434" t="s">
        <v>569</v>
      </c>
      <c r="H434" t="s">
        <v>569</v>
      </c>
      <c r="I434" t="s">
        <v>569</v>
      </c>
      <c r="J434" t="s">
        <v>569</v>
      </c>
      <c r="K434">
        <v>0</v>
      </c>
      <c r="L434" t="s">
        <v>569</v>
      </c>
      <c r="M434" t="s">
        <v>569</v>
      </c>
      <c r="N434" t="s">
        <v>569</v>
      </c>
      <c r="O434" t="s">
        <v>569</v>
      </c>
      <c r="P434" t="s">
        <v>569</v>
      </c>
      <c r="Q434" t="s">
        <v>569</v>
      </c>
      <c r="R434">
        <v>-33.728658459999998</v>
      </c>
      <c r="S434" t="s">
        <v>1111</v>
      </c>
      <c r="T434">
        <v>150.3010798</v>
      </c>
      <c r="U434" t="s">
        <v>1201</v>
      </c>
      <c r="V434" t="s">
        <v>569</v>
      </c>
      <c r="W434" t="s">
        <v>569</v>
      </c>
      <c r="X434" t="s">
        <v>569</v>
      </c>
      <c r="Y434" t="s">
        <v>569</v>
      </c>
      <c r="Z434" s="9">
        <v>0</v>
      </c>
      <c r="AA434" t="s">
        <v>1229</v>
      </c>
      <c r="AB434">
        <v>50</v>
      </c>
      <c r="AC4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5" spans="1:29" x14ac:dyDescent="0.25">
      <c r="A435" t="s">
        <v>1427</v>
      </c>
      <c r="B435" t="s">
        <v>1265</v>
      </c>
      <c r="C435" t="s">
        <v>1266</v>
      </c>
      <c r="D435" t="s">
        <v>652</v>
      </c>
      <c r="E435" t="s">
        <v>653</v>
      </c>
      <c r="F435" t="s">
        <v>569</v>
      </c>
      <c r="G435" t="s">
        <v>569</v>
      </c>
      <c r="H435" t="s">
        <v>569</v>
      </c>
      <c r="I435" t="s">
        <v>569</v>
      </c>
      <c r="J435" t="s">
        <v>569</v>
      </c>
      <c r="K435" t="s">
        <v>569</v>
      </c>
      <c r="L435" t="s">
        <v>569</v>
      </c>
      <c r="M435" t="s">
        <v>569</v>
      </c>
      <c r="N435" t="s">
        <v>569</v>
      </c>
      <c r="O435" t="s">
        <v>569</v>
      </c>
      <c r="P435" t="s">
        <v>569</v>
      </c>
      <c r="Q435" t="s">
        <v>569</v>
      </c>
      <c r="R435" t="s">
        <v>569</v>
      </c>
      <c r="S435" t="s">
        <v>569</v>
      </c>
      <c r="T435" t="s">
        <v>569</v>
      </c>
      <c r="U435" t="s">
        <v>569</v>
      </c>
      <c r="V435" t="s">
        <v>569</v>
      </c>
      <c r="W435" t="s">
        <v>569</v>
      </c>
      <c r="X435" t="s">
        <v>569</v>
      </c>
      <c r="Y435" t="s">
        <v>569</v>
      </c>
      <c r="Z435" t="s">
        <v>569</v>
      </c>
      <c r="AA435" t="s">
        <v>569</v>
      </c>
      <c r="AB435">
        <v>50</v>
      </c>
      <c r="AC43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6" spans="1:29" x14ac:dyDescent="0.25">
      <c r="A436" t="s">
        <v>1352</v>
      </c>
      <c r="B436" t="s">
        <v>1264</v>
      </c>
      <c r="C436" t="s">
        <v>504</v>
      </c>
      <c r="D436" t="s">
        <v>501</v>
      </c>
      <c r="E436" t="s">
        <v>502</v>
      </c>
      <c r="F436" t="s">
        <v>569</v>
      </c>
      <c r="G436" t="s">
        <v>569</v>
      </c>
      <c r="H436" t="s">
        <v>569</v>
      </c>
      <c r="I436" t="s">
        <v>569</v>
      </c>
      <c r="J436" t="s">
        <v>569</v>
      </c>
      <c r="K436" t="s">
        <v>569</v>
      </c>
      <c r="L436" t="s">
        <v>569</v>
      </c>
      <c r="M436" t="s">
        <v>569</v>
      </c>
      <c r="N436" t="s">
        <v>569</v>
      </c>
      <c r="O436" t="s">
        <v>569</v>
      </c>
      <c r="P436" t="s">
        <v>569</v>
      </c>
      <c r="Q436" t="s">
        <v>569</v>
      </c>
      <c r="R436" t="s">
        <v>569</v>
      </c>
      <c r="S436" t="s">
        <v>569</v>
      </c>
      <c r="T436" t="s">
        <v>569</v>
      </c>
      <c r="U436" t="s">
        <v>569</v>
      </c>
      <c r="V436" t="s">
        <v>569</v>
      </c>
      <c r="W436" t="s">
        <v>569</v>
      </c>
      <c r="X436" t="s">
        <v>569</v>
      </c>
      <c r="Y436" t="s">
        <v>569</v>
      </c>
      <c r="Z436" t="s">
        <v>569</v>
      </c>
      <c r="AA436" t="s">
        <v>569</v>
      </c>
      <c r="AB436">
        <v>50</v>
      </c>
      <c r="AC43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7" spans="1:29" x14ac:dyDescent="0.25">
      <c r="A437" t="s">
        <v>685</v>
      </c>
      <c r="B437" t="s">
        <v>521</v>
      </c>
      <c r="C437" t="s">
        <v>525</v>
      </c>
      <c r="D437" t="s">
        <v>522</v>
      </c>
      <c r="E437" t="s">
        <v>523</v>
      </c>
      <c r="F437" t="s">
        <v>569</v>
      </c>
      <c r="G437" t="s">
        <v>569</v>
      </c>
      <c r="H437" t="s">
        <v>569</v>
      </c>
      <c r="I437" t="s">
        <v>569</v>
      </c>
      <c r="J437" t="s">
        <v>569</v>
      </c>
      <c r="K437">
        <v>0</v>
      </c>
      <c r="L437" t="s">
        <v>569</v>
      </c>
      <c r="M437" t="s">
        <v>569</v>
      </c>
      <c r="N437" t="s">
        <v>569</v>
      </c>
      <c r="O437" t="s">
        <v>569</v>
      </c>
      <c r="P437" t="s">
        <v>569</v>
      </c>
      <c r="Q437" t="s">
        <v>569</v>
      </c>
      <c r="R437">
        <v>-31.959954339999999</v>
      </c>
      <c r="S437" t="s">
        <v>1111</v>
      </c>
      <c r="T437">
        <v>115.8340931</v>
      </c>
      <c r="U437" t="s">
        <v>1201</v>
      </c>
      <c r="V437" t="s">
        <v>569</v>
      </c>
      <c r="W437" t="s">
        <v>569</v>
      </c>
      <c r="X437" t="s">
        <v>569</v>
      </c>
      <c r="Y437" t="s">
        <v>569</v>
      </c>
      <c r="Z437" s="9">
        <v>0</v>
      </c>
      <c r="AA437" t="s">
        <v>1229</v>
      </c>
      <c r="AB437">
        <v>50</v>
      </c>
      <c r="AC4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8" spans="1:29" x14ac:dyDescent="0.25">
      <c r="A438" t="s">
        <v>596</v>
      </c>
      <c r="B438" t="s">
        <v>5</v>
      </c>
      <c r="C438" t="s">
        <v>504</v>
      </c>
      <c r="D438" t="s">
        <v>501</v>
      </c>
      <c r="E438" t="s">
        <v>502</v>
      </c>
      <c r="F438" t="s">
        <v>569</v>
      </c>
      <c r="G438" t="s">
        <v>569</v>
      </c>
      <c r="H438" t="s">
        <v>569</v>
      </c>
      <c r="I438" t="s">
        <v>569</v>
      </c>
      <c r="J438" t="s">
        <v>569</v>
      </c>
      <c r="K438">
        <v>0</v>
      </c>
      <c r="L438" t="s">
        <v>569</v>
      </c>
      <c r="M438" t="s">
        <v>569</v>
      </c>
      <c r="N438" t="s">
        <v>569</v>
      </c>
      <c r="O438" t="s">
        <v>569</v>
      </c>
      <c r="P438" t="s">
        <v>569</v>
      </c>
      <c r="Q438" t="s">
        <v>569</v>
      </c>
      <c r="R438">
        <v>48.668842759999997</v>
      </c>
      <c r="S438" t="s">
        <v>1213</v>
      </c>
      <c r="T438">
        <v>-123.69405980000001</v>
      </c>
      <c r="U438" t="s">
        <v>1206</v>
      </c>
      <c r="V438" t="s">
        <v>569</v>
      </c>
      <c r="W438" t="s">
        <v>569</v>
      </c>
      <c r="X438" t="s">
        <v>569</v>
      </c>
      <c r="Y438" t="s">
        <v>569</v>
      </c>
      <c r="Z438" t="s">
        <v>569</v>
      </c>
      <c r="AA438" t="s">
        <v>1229</v>
      </c>
      <c r="AB438">
        <v>50</v>
      </c>
      <c r="AC43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39" spans="1:29" x14ac:dyDescent="0.25">
      <c r="A439" t="s">
        <v>887</v>
      </c>
      <c r="B439" t="s">
        <v>505</v>
      </c>
      <c r="C439" t="s">
        <v>504</v>
      </c>
      <c r="D439" t="s">
        <v>501</v>
      </c>
      <c r="E439" t="s">
        <v>502</v>
      </c>
      <c r="F439" t="s">
        <v>569</v>
      </c>
      <c r="G439" t="s">
        <v>569</v>
      </c>
      <c r="H439" t="s">
        <v>569</v>
      </c>
      <c r="I439" t="s">
        <v>569</v>
      </c>
      <c r="J439">
        <v>60.388238110000003</v>
      </c>
      <c r="K439">
        <v>0</v>
      </c>
      <c r="L439" t="s">
        <v>569</v>
      </c>
      <c r="M439" t="s">
        <v>569</v>
      </c>
      <c r="N439" t="s">
        <v>569</v>
      </c>
      <c r="O439" t="s">
        <v>569</v>
      </c>
      <c r="P439">
        <v>37.044098570000003</v>
      </c>
      <c r="Q439" t="s">
        <v>1205</v>
      </c>
      <c r="R439">
        <v>48.455131629999997</v>
      </c>
      <c r="S439" t="s">
        <v>1213</v>
      </c>
      <c r="T439">
        <v>-123.27286599999999</v>
      </c>
      <c r="U439" t="s">
        <v>1206</v>
      </c>
      <c r="V439" t="s">
        <v>1231</v>
      </c>
      <c r="W439" t="s">
        <v>569</v>
      </c>
      <c r="X439" t="s">
        <v>569</v>
      </c>
      <c r="Y439" t="s">
        <v>569</v>
      </c>
      <c r="Z439" t="s">
        <v>569</v>
      </c>
      <c r="AA439" t="s">
        <v>1229</v>
      </c>
      <c r="AB439">
        <v>50</v>
      </c>
      <c r="AC43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0" spans="1:29" x14ac:dyDescent="0.25">
      <c r="A440" t="s">
        <v>958</v>
      </c>
      <c r="B440" t="s">
        <v>708</v>
      </c>
      <c r="C440" t="s">
        <v>505</v>
      </c>
      <c r="D440" t="s">
        <v>522</v>
      </c>
      <c r="E440" t="s">
        <v>523</v>
      </c>
      <c r="F440" t="s">
        <v>569</v>
      </c>
      <c r="G440" t="s">
        <v>569</v>
      </c>
      <c r="H440" t="s">
        <v>569</v>
      </c>
      <c r="I440" t="s">
        <v>569</v>
      </c>
      <c r="J440" t="s">
        <v>569</v>
      </c>
      <c r="K440">
        <v>0</v>
      </c>
      <c r="L440" t="s">
        <v>569</v>
      </c>
      <c r="M440" t="s">
        <v>569</v>
      </c>
      <c r="N440" t="s">
        <v>569</v>
      </c>
      <c r="O440" t="s">
        <v>569</v>
      </c>
      <c r="P440" t="s">
        <v>569</v>
      </c>
      <c r="Q440" t="s">
        <v>569</v>
      </c>
      <c r="R440">
        <v>-37.571444100000001</v>
      </c>
      <c r="S440" t="s">
        <v>1111</v>
      </c>
      <c r="T440">
        <v>143.9562482</v>
      </c>
      <c r="U440" t="s">
        <v>1201</v>
      </c>
      <c r="V440" t="s">
        <v>569</v>
      </c>
      <c r="W440" t="s">
        <v>569</v>
      </c>
      <c r="X440" t="s">
        <v>569</v>
      </c>
      <c r="Y440" t="s">
        <v>569</v>
      </c>
      <c r="Z440" t="s">
        <v>569</v>
      </c>
      <c r="AA440" t="s">
        <v>1229</v>
      </c>
      <c r="AB440">
        <v>50</v>
      </c>
      <c r="AC44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1" spans="1:29" x14ac:dyDescent="0.25">
      <c r="A441" t="s">
        <v>987</v>
      </c>
      <c r="B441" t="s">
        <v>657</v>
      </c>
      <c r="C441" t="s">
        <v>655</v>
      </c>
      <c r="D441" t="s">
        <v>652</v>
      </c>
      <c r="E441" t="s">
        <v>653</v>
      </c>
      <c r="F441" t="s">
        <v>569</v>
      </c>
      <c r="G441" t="s">
        <v>569</v>
      </c>
      <c r="H441" t="s">
        <v>569</v>
      </c>
      <c r="I441" t="s">
        <v>569</v>
      </c>
      <c r="J441" t="s">
        <v>569</v>
      </c>
      <c r="K441" t="s">
        <v>569</v>
      </c>
      <c r="L441" t="s">
        <v>569</v>
      </c>
      <c r="M441" t="s">
        <v>569</v>
      </c>
      <c r="N441" t="s">
        <v>569</v>
      </c>
      <c r="O441" t="s">
        <v>569</v>
      </c>
      <c r="P441" t="s">
        <v>569</v>
      </c>
      <c r="Q441" t="s">
        <v>569</v>
      </c>
      <c r="R441">
        <v>17.965208514924999</v>
      </c>
      <c r="S441" t="s">
        <v>1111</v>
      </c>
      <c r="T441">
        <v>-66.614082886384097</v>
      </c>
      <c r="U441" t="s">
        <v>1206</v>
      </c>
      <c r="V441" t="s">
        <v>569</v>
      </c>
      <c r="W441" t="s">
        <v>569</v>
      </c>
      <c r="X441" t="s">
        <v>569</v>
      </c>
      <c r="Y441" t="s">
        <v>569</v>
      </c>
      <c r="Z441" t="s">
        <v>569</v>
      </c>
      <c r="AA441" t="s">
        <v>569</v>
      </c>
      <c r="AB441">
        <v>50</v>
      </c>
      <c r="AC44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2" spans="1:29" x14ac:dyDescent="0.25">
      <c r="A442" t="s">
        <v>714</v>
      </c>
      <c r="B442" t="s">
        <v>521</v>
      </c>
      <c r="C442" t="s">
        <v>525</v>
      </c>
      <c r="D442" t="s">
        <v>522</v>
      </c>
      <c r="E442" t="s">
        <v>523</v>
      </c>
      <c r="F442" t="s">
        <v>569</v>
      </c>
      <c r="G442" t="s">
        <v>569</v>
      </c>
      <c r="H442" t="s">
        <v>569</v>
      </c>
      <c r="I442" t="s">
        <v>569</v>
      </c>
      <c r="J442" t="s">
        <v>569</v>
      </c>
      <c r="K442">
        <v>0</v>
      </c>
      <c r="L442" t="s">
        <v>569</v>
      </c>
      <c r="M442" t="s">
        <v>569</v>
      </c>
      <c r="N442" t="s">
        <v>569</v>
      </c>
      <c r="O442" t="s">
        <v>569</v>
      </c>
      <c r="P442" t="s">
        <v>569</v>
      </c>
      <c r="Q442" t="s">
        <v>569</v>
      </c>
      <c r="R442">
        <v>-31.926123069999999</v>
      </c>
      <c r="S442" t="s">
        <v>1111</v>
      </c>
      <c r="T442">
        <v>115.8246517</v>
      </c>
      <c r="U442" t="s">
        <v>1201</v>
      </c>
      <c r="V442" t="s">
        <v>569</v>
      </c>
      <c r="W442" t="s">
        <v>569</v>
      </c>
      <c r="X442" t="s">
        <v>569</v>
      </c>
      <c r="Y442" t="s">
        <v>569</v>
      </c>
      <c r="Z442" s="9">
        <v>0</v>
      </c>
      <c r="AA442" t="s">
        <v>1229</v>
      </c>
      <c r="AB442">
        <v>50</v>
      </c>
      <c r="AC44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3" spans="1:29" x14ac:dyDescent="0.25">
      <c r="A443" t="s">
        <v>1420</v>
      </c>
      <c r="B443" t="s">
        <v>505</v>
      </c>
      <c r="C443" t="s">
        <v>504</v>
      </c>
      <c r="D443" t="s">
        <v>501</v>
      </c>
      <c r="E443" t="s">
        <v>502</v>
      </c>
      <c r="F443" t="s">
        <v>569</v>
      </c>
      <c r="G443" t="s">
        <v>569</v>
      </c>
      <c r="H443" t="s">
        <v>569</v>
      </c>
      <c r="I443" t="s">
        <v>569</v>
      </c>
      <c r="J443" t="s">
        <v>569</v>
      </c>
      <c r="K443" t="s">
        <v>569</v>
      </c>
      <c r="L443" t="s">
        <v>569</v>
      </c>
      <c r="M443" t="s">
        <v>569</v>
      </c>
      <c r="N443" t="s">
        <v>569</v>
      </c>
      <c r="O443" t="s">
        <v>569</v>
      </c>
      <c r="P443" t="s">
        <v>569</v>
      </c>
      <c r="Q443" t="s">
        <v>569</v>
      </c>
      <c r="R443" t="s">
        <v>569</v>
      </c>
      <c r="S443" t="s">
        <v>569</v>
      </c>
      <c r="T443" t="s">
        <v>569</v>
      </c>
      <c r="U443" t="s">
        <v>569</v>
      </c>
      <c r="V443" t="s">
        <v>569</v>
      </c>
      <c r="W443" t="s">
        <v>569</v>
      </c>
      <c r="X443" t="s">
        <v>569</v>
      </c>
      <c r="Y443" t="s">
        <v>569</v>
      </c>
      <c r="Z443" t="s">
        <v>569</v>
      </c>
      <c r="AA443" t="s">
        <v>569</v>
      </c>
      <c r="AB443">
        <v>50</v>
      </c>
      <c r="AC44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4" spans="1:29" x14ac:dyDescent="0.25">
      <c r="A444" t="s">
        <v>1232</v>
      </c>
      <c r="B444" t="s">
        <v>505</v>
      </c>
      <c r="C444" t="s">
        <v>504</v>
      </c>
      <c r="D444" t="s">
        <v>501</v>
      </c>
      <c r="E444" t="s">
        <v>502</v>
      </c>
      <c r="F444" t="s">
        <v>569</v>
      </c>
      <c r="G444" t="s">
        <v>569</v>
      </c>
      <c r="H444" t="s">
        <v>569</v>
      </c>
      <c r="I444" t="s">
        <v>569</v>
      </c>
      <c r="J444" t="s">
        <v>569</v>
      </c>
      <c r="K444" t="s">
        <v>569</v>
      </c>
      <c r="L444" t="s">
        <v>569</v>
      </c>
      <c r="M444" t="s">
        <v>569</v>
      </c>
      <c r="N444" t="s">
        <v>569</v>
      </c>
      <c r="O444" t="s">
        <v>569</v>
      </c>
      <c r="P444" t="s">
        <v>569</v>
      </c>
      <c r="Q444" t="s">
        <v>569</v>
      </c>
      <c r="R444">
        <v>48.420305740000003</v>
      </c>
      <c r="S444" t="s">
        <v>1213</v>
      </c>
      <c r="T444">
        <v>-123.3491854</v>
      </c>
      <c r="U444" t="s">
        <v>1206</v>
      </c>
      <c r="V444" t="s">
        <v>569</v>
      </c>
      <c r="W444" t="s">
        <v>569</v>
      </c>
      <c r="X444" t="s">
        <v>569</v>
      </c>
      <c r="Y444" t="s">
        <v>569</v>
      </c>
      <c r="Z444" t="s">
        <v>569</v>
      </c>
      <c r="AA444" t="s">
        <v>569</v>
      </c>
      <c r="AB444">
        <v>50</v>
      </c>
      <c r="AC44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5" spans="1:29" x14ac:dyDescent="0.25">
      <c r="A445" t="s">
        <v>1378</v>
      </c>
      <c r="B445" t="s">
        <v>557</v>
      </c>
      <c r="C445" t="s">
        <v>504</v>
      </c>
      <c r="D445" t="s">
        <v>501</v>
      </c>
      <c r="E445" t="s">
        <v>502</v>
      </c>
      <c r="F445" t="s">
        <v>569</v>
      </c>
      <c r="G445" t="s">
        <v>569</v>
      </c>
      <c r="H445" t="s">
        <v>569</v>
      </c>
      <c r="I445" t="s">
        <v>569</v>
      </c>
      <c r="J445" t="s">
        <v>569</v>
      </c>
      <c r="K445" t="s">
        <v>569</v>
      </c>
      <c r="L445" t="s">
        <v>569</v>
      </c>
      <c r="M445" t="s">
        <v>569</v>
      </c>
      <c r="N445" t="s">
        <v>569</v>
      </c>
      <c r="O445" t="s">
        <v>569</v>
      </c>
      <c r="P445" t="s">
        <v>569</v>
      </c>
      <c r="Q445" t="s">
        <v>569</v>
      </c>
      <c r="R445" t="s">
        <v>569</v>
      </c>
      <c r="S445" t="s">
        <v>569</v>
      </c>
      <c r="T445" t="s">
        <v>569</v>
      </c>
      <c r="U445" t="s">
        <v>569</v>
      </c>
      <c r="V445" t="s">
        <v>569</v>
      </c>
      <c r="W445" t="s">
        <v>569</v>
      </c>
      <c r="X445" t="s">
        <v>569</v>
      </c>
      <c r="Y445" t="s">
        <v>569</v>
      </c>
      <c r="Z445" t="s">
        <v>569</v>
      </c>
      <c r="AA445" t="s">
        <v>569</v>
      </c>
      <c r="AB445">
        <v>50</v>
      </c>
      <c r="AC44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6" spans="1:29" x14ac:dyDescent="0.25">
      <c r="A446" t="s">
        <v>535</v>
      </c>
      <c r="B446" t="s">
        <v>505</v>
      </c>
      <c r="C446" t="s">
        <v>504</v>
      </c>
      <c r="D446" t="s">
        <v>501</v>
      </c>
      <c r="E446" t="s">
        <v>502</v>
      </c>
      <c r="F446" t="s">
        <v>569</v>
      </c>
      <c r="G446" t="s">
        <v>569</v>
      </c>
      <c r="H446" t="s">
        <v>569</v>
      </c>
      <c r="I446" t="s">
        <v>569</v>
      </c>
      <c r="J446" t="s">
        <v>569</v>
      </c>
      <c r="K446">
        <v>0</v>
      </c>
      <c r="L446" t="s">
        <v>569</v>
      </c>
      <c r="M446" t="s">
        <v>569</v>
      </c>
      <c r="N446" t="s">
        <v>569</v>
      </c>
      <c r="O446" t="s">
        <v>569</v>
      </c>
      <c r="P446" t="s">
        <v>569</v>
      </c>
      <c r="Q446" t="s">
        <v>569</v>
      </c>
      <c r="R446">
        <v>48.492691389999997</v>
      </c>
      <c r="S446" t="s">
        <v>1213</v>
      </c>
      <c r="T446">
        <v>-123.40706350000001</v>
      </c>
      <c r="U446" t="s">
        <v>1206</v>
      </c>
      <c r="V446" t="s">
        <v>569</v>
      </c>
      <c r="W446" t="s">
        <v>569</v>
      </c>
      <c r="X446" t="s">
        <v>569</v>
      </c>
      <c r="Y446" t="s">
        <v>569</v>
      </c>
      <c r="Z446" t="s">
        <v>569</v>
      </c>
      <c r="AA446" t="s">
        <v>1229</v>
      </c>
      <c r="AB446">
        <v>50</v>
      </c>
      <c r="AC44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7" spans="1:29" x14ac:dyDescent="0.25">
      <c r="A447" t="s">
        <v>1360</v>
      </c>
      <c r="B447" t="s">
        <v>1360</v>
      </c>
      <c r="C447" t="s">
        <v>504</v>
      </c>
      <c r="D447" t="s">
        <v>501</v>
      </c>
      <c r="E447" t="s">
        <v>502</v>
      </c>
      <c r="F447" t="s">
        <v>569</v>
      </c>
      <c r="G447" t="s">
        <v>569</v>
      </c>
      <c r="H447" t="s">
        <v>569</v>
      </c>
      <c r="I447" t="s">
        <v>569</v>
      </c>
      <c r="J447" t="s">
        <v>569</v>
      </c>
      <c r="K447" t="s">
        <v>569</v>
      </c>
      <c r="L447" t="s">
        <v>569</v>
      </c>
      <c r="M447" t="s">
        <v>569</v>
      </c>
      <c r="N447" t="s">
        <v>569</v>
      </c>
      <c r="O447" t="s">
        <v>569</v>
      </c>
      <c r="P447" t="s">
        <v>569</v>
      </c>
      <c r="Q447" t="s">
        <v>569</v>
      </c>
      <c r="R447" t="s">
        <v>569</v>
      </c>
      <c r="S447" t="s">
        <v>569</v>
      </c>
      <c r="T447" t="s">
        <v>569</v>
      </c>
      <c r="U447" t="s">
        <v>569</v>
      </c>
      <c r="V447" t="s">
        <v>569</v>
      </c>
      <c r="W447" t="s">
        <v>569</v>
      </c>
      <c r="X447" t="s">
        <v>569</v>
      </c>
      <c r="Y447" t="s">
        <v>569</v>
      </c>
      <c r="Z447" t="s">
        <v>569</v>
      </c>
      <c r="AA447" t="s">
        <v>569</v>
      </c>
      <c r="AB447">
        <v>50</v>
      </c>
      <c r="AC44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8" spans="1:29" x14ac:dyDescent="0.25">
      <c r="A448" t="s">
        <v>956</v>
      </c>
      <c r="B448" t="s">
        <v>954</v>
      </c>
      <c r="C448" t="s">
        <v>505</v>
      </c>
      <c r="D448" t="s">
        <v>522</v>
      </c>
      <c r="E448" t="s">
        <v>523</v>
      </c>
      <c r="F448" t="s">
        <v>569</v>
      </c>
      <c r="G448" t="s">
        <v>569</v>
      </c>
      <c r="H448" t="s">
        <v>569</v>
      </c>
      <c r="I448" t="s">
        <v>569</v>
      </c>
      <c r="J448" t="s">
        <v>569</v>
      </c>
      <c r="K448">
        <v>0</v>
      </c>
      <c r="L448" t="s">
        <v>569</v>
      </c>
      <c r="M448" t="s">
        <v>569</v>
      </c>
      <c r="N448" t="s">
        <v>569</v>
      </c>
      <c r="O448" t="s">
        <v>569</v>
      </c>
      <c r="P448" t="s">
        <v>569</v>
      </c>
      <c r="Q448" t="s">
        <v>569</v>
      </c>
      <c r="R448">
        <v>-37.884514979999999</v>
      </c>
      <c r="S448" t="s">
        <v>1111</v>
      </c>
      <c r="T448">
        <v>145.08363019999999</v>
      </c>
      <c r="U448" t="s">
        <v>1201</v>
      </c>
      <c r="V448" t="s">
        <v>569</v>
      </c>
      <c r="W448" t="s">
        <v>569</v>
      </c>
      <c r="X448" t="s">
        <v>569</v>
      </c>
      <c r="Y448" t="s">
        <v>569</v>
      </c>
      <c r="Z448" t="s">
        <v>569</v>
      </c>
      <c r="AA448" t="s">
        <v>1229</v>
      </c>
      <c r="AB448">
        <v>50</v>
      </c>
      <c r="AC4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49" spans="1:29" x14ac:dyDescent="0.25">
      <c r="A449" t="s">
        <v>897</v>
      </c>
      <c r="B449" t="s">
        <v>896</v>
      </c>
      <c r="C449" t="s">
        <v>504</v>
      </c>
      <c r="D449" t="s">
        <v>501</v>
      </c>
      <c r="E449" t="s">
        <v>502</v>
      </c>
      <c r="F449" t="s">
        <v>569</v>
      </c>
      <c r="G449" t="s">
        <v>569</v>
      </c>
      <c r="H449" t="s">
        <v>569</v>
      </c>
      <c r="I449" t="s">
        <v>569</v>
      </c>
      <c r="J449" t="s">
        <v>569</v>
      </c>
      <c r="K449">
        <v>0</v>
      </c>
      <c r="L449" t="s">
        <v>569</v>
      </c>
      <c r="M449" t="s">
        <v>569</v>
      </c>
      <c r="N449" t="s">
        <v>569</v>
      </c>
      <c r="O449" t="s">
        <v>569</v>
      </c>
      <c r="P449" t="s">
        <v>569</v>
      </c>
      <c r="Q449" t="s">
        <v>569</v>
      </c>
      <c r="R449">
        <v>48.873762990000003</v>
      </c>
      <c r="S449" t="s">
        <v>1213</v>
      </c>
      <c r="T449">
        <v>-123.2906637</v>
      </c>
      <c r="U449" t="s">
        <v>1206</v>
      </c>
      <c r="V449" t="s">
        <v>569</v>
      </c>
      <c r="W449" t="s">
        <v>569</v>
      </c>
      <c r="X449" t="s">
        <v>569</v>
      </c>
      <c r="Y449" t="s">
        <v>569</v>
      </c>
      <c r="Z449" t="s">
        <v>569</v>
      </c>
      <c r="AA449" t="s">
        <v>1229</v>
      </c>
      <c r="AB449">
        <v>50</v>
      </c>
      <c r="AC4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0" spans="1:29" x14ac:dyDescent="0.25">
      <c r="A450" t="s">
        <v>1501</v>
      </c>
      <c r="B450" t="s">
        <v>557</v>
      </c>
      <c r="C450" t="s">
        <v>504</v>
      </c>
      <c r="D450" t="s">
        <v>501</v>
      </c>
      <c r="E450" t="s">
        <v>502</v>
      </c>
      <c r="F450" t="s">
        <v>569</v>
      </c>
      <c r="G450" t="s">
        <v>569</v>
      </c>
      <c r="H450" t="s">
        <v>569</v>
      </c>
      <c r="I450" t="s">
        <v>569</v>
      </c>
      <c r="J450" t="s">
        <v>569</v>
      </c>
      <c r="K450" t="s">
        <v>569</v>
      </c>
      <c r="L450" t="s">
        <v>569</v>
      </c>
      <c r="M450" t="s">
        <v>569</v>
      </c>
      <c r="N450" t="s">
        <v>569</v>
      </c>
      <c r="O450" t="s">
        <v>569</v>
      </c>
      <c r="P450" t="s">
        <v>569</v>
      </c>
      <c r="Q450" t="s">
        <v>569</v>
      </c>
      <c r="R450" t="s">
        <v>569</v>
      </c>
      <c r="S450" t="s">
        <v>569</v>
      </c>
      <c r="T450" t="s">
        <v>569</v>
      </c>
      <c r="U450" t="s">
        <v>569</v>
      </c>
      <c r="V450" t="s">
        <v>569</v>
      </c>
      <c r="W450" t="s">
        <v>569</v>
      </c>
      <c r="X450" t="s">
        <v>569</v>
      </c>
      <c r="Y450" t="s">
        <v>569</v>
      </c>
      <c r="Z450" t="s">
        <v>569</v>
      </c>
      <c r="AA450" t="s">
        <v>569</v>
      </c>
      <c r="AB450">
        <v>50</v>
      </c>
      <c r="AC45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1" spans="1:29" x14ac:dyDescent="0.25">
      <c r="A451" t="s">
        <v>836</v>
      </c>
      <c r="B451" t="s">
        <v>835</v>
      </c>
      <c r="C451" t="s">
        <v>504</v>
      </c>
      <c r="D451" t="s">
        <v>501</v>
      </c>
      <c r="E451" t="s">
        <v>502</v>
      </c>
      <c r="F451" t="s">
        <v>569</v>
      </c>
      <c r="G451" t="s">
        <v>569</v>
      </c>
      <c r="H451" t="s">
        <v>569</v>
      </c>
      <c r="I451" t="s">
        <v>569</v>
      </c>
      <c r="J451">
        <v>37.134889749999999</v>
      </c>
      <c r="K451">
        <v>0</v>
      </c>
      <c r="L451" t="s">
        <v>569</v>
      </c>
      <c r="M451" t="s">
        <v>569</v>
      </c>
      <c r="N451" t="s">
        <v>569</v>
      </c>
      <c r="O451" t="s">
        <v>569</v>
      </c>
      <c r="P451">
        <v>267.42846659999998</v>
      </c>
      <c r="Q451" t="s">
        <v>1204</v>
      </c>
      <c r="R451">
        <v>49.184593550000002</v>
      </c>
      <c r="S451" t="s">
        <v>1213</v>
      </c>
      <c r="T451">
        <v>-121.90602149999999</v>
      </c>
      <c r="U451" t="s">
        <v>1206</v>
      </c>
      <c r="V451" t="s">
        <v>569</v>
      </c>
      <c r="W451" t="s">
        <v>569</v>
      </c>
      <c r="X451" t="s">
        <v>569</v>
      </c>
      <c r="Y451" t="s">
        <v>569</v>
      </c>
      <c r="Z451" s="10">
        <v>2.1509722222222223</v>
      </c>
      <c r="AA451" t="s">
        <v>1229</v>
      </c>
      <c r="AB451">
        <v>50</v>
      </c>
      <c r="AC45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2" spans="1:29" x14ac:dyDescent="0.25">
      <c r="A452" t="s">
        <v>1368</v>
      </c>
      <c r="B452" t="s">
        <v>557</v>
      </c>
      <c r="C452" t="s">
        <v>504</v>
      </c>
      <c r="D452" t="s">
        <v>501</v>
      </c>
      <c r="E452" t="s">
        <v>502</v>
      </c>
      <c r="F452" t="s">
        <v>569</v>
      </c>
      <c r="G452" t="s">
        <v>569</v>
      </c>
      <c r="H452" t="s">
        <v>569</v>
      </c>
      <c r="I452" t="s">
        <v>569</v>
      </c>
      <c r="J452" t="s">
        <v>569</v>
      </c>
      <c r="K452" t="s">
        <v>569</v>
      </c>
      <c r="L452" t="s">
        <v>569</v>
      </c>
      <c r="M452" t="s">
        <v>569</v>
      </c>
      <c r="N452" t="s">
        <v>569</v>
      </c>
      <c r="O452" t="s">
        <v>569</v>
      </c>
      <c r="P452" t="s">
        <v>569</v>
      </c>
      <c r="Q452" t="s">
        <v>569</v>
      </c>
      <c r="R452" t="s">
        <v>569</v>
      </c>
      <c r="S452" t="s">
        <v>569</v>
      </c>
      <c r="T452" t="s">
        <v>569</v>
      </c>
      <c r="U452" t="s">
        <v>569</v>
      </c>
      <c r="V452" t="s">
        <v>569</v>
      </c>
      <c r="W452" t="s">
        <v>569</v>
      </c>
      <c r="X452" t="s">
        <v>569</v>
      </c>
      <c r="Y452" t="s">
        <v>569</v>
      </c>
      <c r="Z452" t="s">
        <v>569</v>
      </c>
      <c r="AA452" t="s">
        <v>569</v>
      </c>
      <c r="AB452">
        <v>50</v>
      </c>
      <c r="AC45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3" spans="1:29" x14ac:dyDescent="0.25">
      <c r="A453" t="s">
        <v>664</v>
      </c>
      <c r="B453" t="s">
        <v>505</v>
      </c>
      <c r="C453" t="s">
        <v>504</v>
      </c>
      <c r="D453" t="s">
        <v>501</v>
      </c>
      <c r="E453" t="s">
        <v>502</v>
      </c>
      <c r="F453" t="s">
        <v>569</v>
      </c>
      <c r="G453" t="s">
        <v>569</v>
      </c>
      <c r="H453" t="s">
        <v>569</v>
      </c>
      <c r="I453" t="s">
        <v>569</v>
      </c>
      <c r="J453" t="s">
        <v>569</v>
      </c>
      <c r="K453">
        <v>0</v>
      </c>
      <c r="L453" t="s">
        <v>569</v>
      </c>
      <c r="M453" t="s">
        <v>569</v>
      </c>
      <c r="N453" t="s">
        <v>569</v>
      </c>
      <c r="O453" t="s">
        <v>569</v>
      </c>
      <c r="P453" t="s">
        <v>569</v>
      </c>
      <c r="Q453" t="s">
        <v>569</v>
      </c>
      <c r="R453">
        <v>48.519134309999998</v>
      </c>
      <c r="S453" t="s">
        <v>1213</v>
      </c>
      <c r="T453">
        <v>-123.51360080000001</v>
      </c>
      <c r="U453" t="s">
        <v>1206</v>
      </c>
      <c r="V453" t="s">
        <v>569</v>
      </c>
      <c r="W453" t="s">
        <v>569</v>
      </c>
      <c r="X453" t="s">
        <v>569</v>
      </c>
      <c r="Y453" t="s">
        <v>569</v>
      </c>
      <c r="Z453" t="s">
        <v>569</v>
      </c>
      <c r="AA453" t="s">
        <v>1229</v>
      </c>
      <c r="AB453">
        <v>50</v>
      </c>
      <c r="AC4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4" spans="1:29" x14ac:dyDescent="0.25">
      <c r="A454" t="s">
        <v>595</v>
      </c>
      <c r="B454" t="s">
        <v>594</v>
      </c>
      <c r="C454" t="s">
        <v>504</v>
      </c>
      <c r="D454" t="s">
        <v>501</v>
      </c>
      <c r="E454" t="s">
        <v>502</v>
      </c>
      <c r="F454" t="s">
        <v>569</v>
      </c>
      <c r="G454" t="s">
        <v>569</v>
      </c>
      <c r="H454" t="s">
        <v>569</v>
      </c>
      <c r="I454" t="s">
        <v>569</v>
      </c>
      <c r="J454" t="s">
        <v>569</v>
      </c>
      <c r="K454">
        <v>0</v>
      </c>
      <c r="L454" t="s">
        <v>569</v>
      </c>
      <c r="M454" t="s">
        <v>569</v>
      </c>
      <c r="N454" t="s">
        <v>569</v>
      </c>
      <c r="O454" t="s">
        <v>569</v>
      </c>
      <c r="P454" t="s">
        <v>569</v>
      </c>
      <c r="Q454" t="s">
        <v>569</v>
      </c>
      <c r="R454">
        <v>49.069789319999998</v>
      </c>
      <c r="S454" t="s">
        <v>1213</v>
      </c>
      <c r="T454">
        <v>-125.75333120000001</v>
      </c>
      <c r="U454" t="s">
        <v>1206</v>
      </c>
      <c r="V454" t="s">
        <v>569</v>
      </c>
      <c r="W454" t="s">
        <v>569</v>
      </c>
      <c r="X454" t="s">
        <v>569</v>
      </c>
      <c r="Y454" t="s">
        <v>569</v>
      </c>
      <c r="Z454" t="s">
        <v>569</v>
      </c>
      <c r="AA454" t="s">
        <v>1229</v>
      </c>
      <c r="AB454">
        <v>50</v>
      </c>
      <c r="AC4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5" spans="1:29" x14ac:dyDescent="0.25">
      <c r="A455" t="s">
        <v>931</v>
      </c>
      <c r="B455" t="s">
        <v>513</v>
      </c>
      <c r="C455" t="s">
        <v>504</v>
      </c>
      <c r="D455" t="s">
        <v>501</v>
      </c>
      <c r="E455" t="s">
        <v>502</v>
      </c>
      <c r="F455" t="s">
        <v>569</v>
      </c>
      <c r="G455" t="s">
        <v>569</v>
      </c>
      <c r="H455" t="s">
        <v>569</v>
      </c>
      <c r="I455" t="s">
        <v>569</v>
      </c>
      <c r="J455" t="s">
        <v>569</v>
      </c>
      <c r="K455">
        <v>0</v>
      </c>
      <c r="L455" t="s">
        <v>569</v>
      </c>
      <c r="M455" t="s">
        <v>569</v>
      </c>
      <c r="N455" t="s">
        <v>569</v>
      </c>
      <c r="O455" t="s">
        <v>569</v>
      </c>
      <c r="P455" t="s">
        <v>569</v>
      </c>
      <c r="Q455" t="s">
        <v>569</v>
      </c>
      <c r="R455">
        <v>49.309910539999997</v>
      </c>
      <c r="S455" t="s">
        <v>1213</v>
      </c>
      <c r="T455">
        <v>-123.0835891</v>
      </c>
      <c r="U455" t="s">
        <v>1206</v>
      </c>
      <c r="V455" t="s">
        <v>569</v>
      </c>
      <c r="W455" t="s">
        <v>569</v>
      </c>
      <c r="X455" t="s">
        <v>569</v>
      </c>
      <c r="Y455" t="s">
        <v>569</v>
      </c>
      <c r="Z455" t="s">
        <v>569</v>
      </c>
      <c r="AA455" t="s">
        <v>1229</v>
      </c>
      <c r="AB455">
        <v>50</v>
      </c>
      <c r="AC45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6" spans="1:29" x14ac:dyDescent="0.25">
      <c r="A456" t="s">
        <v>559</v>
      </c>
      <c r="B456" t="s">
        <v>557</v>
      </c>
      <c r="C456" t="s">
        <v>504</v>
      </c>
      <c r="D456" t="s">
        <v>501</v>
      </c>
      <c r="E456" t="s">
        <v>502</v>
      </c>
      <c r="F456" t="s">
        <v>569</v>
      </c>
      <c r="G456" t="s">
        <v>569</v>
      </c>
      <c r="H456" t="s">
        <v>569</v>
      </c>
      <c r="I456" t="s">
        <v>569</v>
      </c>
      <c r="J456" t="s">
        <v>569</v>
      </c>
      <c r="K456">
        <v>0</v>
      </c>
      <c r="L456" t="s">
        <v>569</v>
      </c>
      <c r="M456" t="s">
        <v>569</v>
      </c>
      <c r="N456" t="s">
        <v>569</v>
      </c>
      <c r="O456" t="s">
        <v>569</v>
      </c>
      <c r="P456" t="s">
        <v>569</v>
      </c>
      <c r="Q456" t="s">
        <v>569</v>
      </c>
      <c r="R456">
        <v>49.981661109999997</v>
      </c>
      <c r="S456" t="s">
        <v>1213</v>
      </c>
      <c r="T456">
        <v>-124.7601528</v>
      </c>
      <c r="U456" t="s">
        <v>1206</v>
      </c>
      <c r="V456" t="s">
        <v>569</v>
      </c>
      <c r="W456" t="s">
        <v>569</v>
      </c>
      <c r="X456" t="s">
        <v>569</v>
      </c>
      <c r="Y456" t="s">
        <v>569</v>
      </c>
      <c r="Z456" t="s">
        <v>569</v>
      </c>
      <c r="AA456" t="s">
        <v>1230</v>
      </c>
      <c r="AB456">
        <v>50</v>
      </c>
      <c r="AC4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7" spans="1:29" x14ac:dyDescent="0.25">
      <c r="A457" t="s">
        <v>828</v>
      </c>
      <c r="B457" t="s">
        <v>505</v>
      </c>
      <c r="C457" t="s">
        <v>504</v>
      </c>
      <c r="D457" t="s">
        <v>501</v>
      </c>
      <c r="E457" t="s">
        <v>502</v>
      </c>
      <c r="F457" t="s">
        <v>569</v>
      </c>
      <c r="G457" t="s">
        <v>569</v>
      </c>
      <c r="H457" t="s">
        <v>569</v>
      </c>
      <c r="I457" t="s">
        <v>569</v>
      </c>
      <c r="J457" t="s">
        <v>569</v>
      </c>
      <c r="K457">
        <v>0</v>
      </c>
      <c r="L457" t="s">
        <v>569</v>
      </c>
      <c r="M457" t="s">
        <v>569</v>
      </c>
      <c r="N457" t="s">
        <v>569</v>
      </c>
      <c r="O457" t="s">
        <v>569</v>
      </c>
      <c r="P457" t="s">
        <v>569</v>
      </c>
      <c r="Q457" t="s">
        <v>569</v>
      </c>
      <c r="R457">
        <v>48.42978076</v>
      </c>
      <c r="S457" t="s">
        <v>1213</v>
      </c>
      <c r="T457">
        <v>-123.53069720000001</v>
      </c>
      <c r="U457" t="s">
        <v>1206</v>
      </c>
      <c r="V457" t="s">
        <v>569</v>
      </c>
      <c r="W457" t="s">
        <v>569</v>
      </c>
      <c r="X457" t="s">
        <v>569</v>
      </c>
      <c r="Y457" t="s">
        <v>569</v>
      </c>
      <c r="Z457" t="s">
        <v>569</v>
      </c>
      <c r="AA457" t="s">
        <v>1229</v>
      </c>
      <c r="AB457">
        <v>50</v>
      </c>
      <c r="AC4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8" spans="1:29" x14ac:dyDescent="0.25">
      <c r="A458" t="s">
        <v>982</v>
      </c>
      <c r="B458" t="s">
        <v>505</v>
      </c>
      <c r="C458" t="s">
        <v>504</v>
      </c>
      <c r="D458" t="s">
        <v>501</v>
      </c>
      <c r="E458" t="s">
        <v>502</v>
      </c>
      <c r="F458" t="s">
        <v>569</v>
      </c>
      <c r="G458" t="s">
        <v>569</v>
      </c>
      <c r="H458" t="s">
        <v>569</v>
      </c>
      <c r="I458" t="s">
        <v>569</v>
      </c>
      <c r="J458">
        <v>18.064136309999999</v>
      </c>
      <c r="K458">
        <v>0</v>
      </c>
      <c r="L458">
        <v>205.04653200000001</v>
      </c>
      <c r="M458" t="s">
        <v>1204</v>
      </c>
      <c r="N458" t="s">
        <v>569</v>
      </c>
      <c r="O458">
        <v>12.00181242</v>
      </c>
      <c r="P458">
        <v>205.04653200000001</v>
      </c>
      <c r="Q458" t="s">
        <v>1204</v>
      </c>
      <c r="R458">
        <v>48.418780560000002</v>
      </c>
      <c r="S458" t="s">
        <v>1213</v>
      </c>
      <c r="T458">
        <v>-123.40876110000001</v>
      </c>
      <c r="U458" t="s">
        <v>1206</v>
      </c>
      <c r="V458" t="s">
        <v>569</v>
      </c>
      <c r="W458" t="s">
        <v>569</v>
      </c>
      <c r="X458">
        <v>0.142946824</v>
      </c>
      <c r="Y458" t="s">
        <v>1214</v>
      </c>
      <c r="Z458" t="s">
        <v>569</v>
      </c>
      <c r="AA458" t="s">
        <v>1229</v>
      </c>
      <c r="AB458">
        <v>50</v>
      </c>
      <c r="AC4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59" spans="1:29" x14ac:dyDescent="0.25">
      <c r="A459" t="s">
        <v>941</v>
      </c>
      <c r="B459" t="s">
        <v>696</v>
      </c>
      <c r="C459" t="s">
        <v>677</v>
      </c>
      <c r="D459" t="s">
        <v>522</v>
      </c>
      <c r="E459" t="s">
        <v>523</v>
      </c>
      <c r="F459" t="s">
        <v>569</v>
      </c>
      <c r="G459" t="s">
        <v>569</v>
      </c>
      <c r="H459" t="s">
        <v>569</v>
      </c>
      <c r="I459" t="s">
        <v>569</v>
      </c>
      <c r="J459" t="s">
        <v>569</v>
      </c>
      <c r="K459">
        <v>0</v>
      </c>
      <c r="L459" t="s">
        <v>569</v>
      </c>
      <c r="M459" t="s">
        <v>569</v>
      </c>
      <c r="N459" t="s">
        <v>569</v>
      </c>
      <c r="O459" t="s">
        <v>569</v>
      </c>
      <c r="P459" t="s">
        <v>569</v>
      </c>
      <c r="Q459" t="s">
        <v>569</v>
      </c>
      <c r="R459">
        <v>-33.869439300000003</v>
      </c>
      <c r="S459" t="s">
        <v>1111</v>
      </c>
      <c r="T459">
        <v>151.20160759999999</v>
      </c>
      <c r="U459" t="s">
        <v>1201</v>
      </c>
      <c r="V459" t="s">
        <v>569</v>
      </c>
      <c r="W459" t="s">
        <v>569</v>
      </c>
      <c r="X459" t="s">
        <v>569</v>
      </c>
      <c r="Y459" t="s">
        <v>569</v>
      </c>
      <c r="Z459" t="s">
        <v>569</v>
      </c>
      <c r="AA459" t="s">
        <v>1229</v>
      </c>
      <c r="AB459">
        <v>50</v>
      </c>
      <c r="AC45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0" spans="1:29" x14ac:dyDescent="0.25">
      <c r="A460" t="s">
        <v>591</v>
      </c>
      <c r="B460" t="s">
        <v>545</v>
      </c>
      <c r="C460" t="s">
        <v>504</v>
      </c>
      <c r="D460" t="s">
        <v>501</v>
      </c>
      <c r="E460" t="s">
        <v>502</v>
      </c>
      <c r="F460" t="s">
        <v>569</v>
      </c>
      <c r="G460" t="s">
        <v>569</v>
      </c>
      <c r="H460" t="s">
        <v>569</v>
      </c>
      <c r="I460" t="s">
        <v>569</v>
      </c>
      <c r="J460" t="s">
        <v>569</v>
      </c>
      <c r="K460">
        <v>0</v>
      </c>
      <c r="L460" t="s">
        <v>569</v>
      </c>
      <c r="M460" t="s">
        <v>569</v>
      </c>
      <c r="N460" t="s">
        <v>569</v>
      </c>
      <c r="O460" t="s">
        <v>569</v>
      </c>
      <c r="P460" t="s">
        <v>569</v>
      </c>
      <c r="Q460" t="s">
        <v>569</v>
      </c>
      <c r="R460">
        <v>49.314268140000003</v>
      </c>
      <c r="S460" t="s">
        <v>1213</v>
      </c>
      <c r="T460">
        <v>-124.2629242</v>
      </c>
      <c r="U460" t="s">
        <v>1206</v>
      </c>
      <c r="V460" t="s">
        <v>569</v>
      </c>
      <c r="W460" t="s">
        <v>569</v>
      </c>
      <c r="X460" t="s">
        <v>569</v>
      </c>
      <c r="Y460" t="s">
        <v>569</v>
      </c>
      <c r="Z460" t="s">
        <v>569</v>
      </c>
      <c r="AA460" t="s">
        <v>1229</v>
      </c>
      <c r="AB460">
        <v>50</v>
      </c>
      <c r="AC46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1" spans="1:29" x14ac:dyDescent="0.25">
      <c r="A461" t="s">
        <v>788</v>
      </c>
      <c r="B461" t="s">
        <v>787</v>
      </c>
      <c r="C461" t="s">
        <v>784</v>
      </c>
      <c r="D461" t="s">
        <v>777</v>
      </c>
      <c r="E461" t="s">
        <v>778</v>
      </c>
      <c r="F461" t="s">
        <v>569</v>
      </c>
      <c r="G461" t="s">
        <v>569</v>
      </c>
      <c r="H461" t="s">
        <v>569</v>
      </c>
      <c r="I461" t="s">
        <v>569</v>
      </c>
      <c r="J461" t="s">
        <v>569</v>
      </c>
      <c r="K461">
        <v>0</v>
      </c>
      <c r="L461" t="s">
        <v>569</v>
      </c>
      <c r="M461" t="s">
        <v>569</v>
      </c>
      <c r="N461" t="s">
        <v>569</v>
      </c>
      <c r="O461" t="s">
        <v>569</v>
      </c>
      <c r="P461" t="s">
        <v>569</v>
      </c>
      <c r="Q461" t="s">
        <v>569</v>
      </c>
      <c r="R461">
        <v>13.407150850000001</v>
      </c>
      <c r="S461" t="s">
        <v>1213</v>
      </c>
      <c r="T461">
        <v>99.9994576</v>
      </c>
      <c r="U461" t="s">
        <v>1201</v>
      </c>
      <c r="V461" t="s">
        <v>569</v>
      </c>
      <c r="W461" t="s">
        <v>569</v>
      </c>
      <c r="X461" t="s">
        <v>569</v>
      </c>
      <c r="Y461" t="s">
        <v>569</v>
      </c>
      <c r="Z461" t="s">
        <v>569</v>
      </c>
      <c r="AA461" t="s">
        <v>1229</v>
      </c>
      <c r="AB461">
        <v>50</v>
      </c>
      <c r="AC46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2" spans="1:29" x14ac:dyDescent="0.25">
      <c r="A462" t="s">
        <v>940</v>
      </c>
      <c r="B462" t="s">
        <v>696</v>
      </c>
      <c r="C462" t="s">
        <v>677</v>
      </c>
      <c r="D462" t="s">
        <v>522</v>
      </c>
      <c r="E462" t="s">
        <v>523</v>
      </c>
      <c r="F462" t="s">
        <v>569</v>
      </c>
      <c r="G462" t="s">
        <v>569</v>
      </c>
      <c r="H462" t="s">
        <v>569</v>
      </c>
      <c r="I462" t="s">
        <v>569</v>
      </c>
      <c r="J462" t="s">
        <v>569</v>
      </c>
      <c r="K462">
        <v>0</v>
      </c>
      <c r="L462" t="s">
        <v>569</v>
      </c>
      <c r="M462" t="s">
        <v>569</v>
      </c>
      <c r="N462" t="s">
        <v>569</v>
      </c>
      <c r="O462" t="s">
        <v>569</v>
      </c>
      <c r="P462" t="s">
        <v>569</v>
      </c>
      <c r="Q462" t="s">
        <v>569</v>
      </c>
      <c r="R462">
        <v>-33.798039029999998</v>
      </c>
      <c r="S462" t="s">
        <v>1111</v>
      </c>
      <c r="T462">
        <v>151.2865271</v>
      </c>
      <c r="U462" t="s">
        <v>1201</v>
      </c>
      <c r="V462" t="s">
        <v>569</v>
      </c>
      <c r="W462" t="s">
        <v>569</v>
      </c>
      <c r="X462" t="s">
        <v>569</v>
      </c>
      <c r="Y462" t="s">
        <v>569</v>
      </c>
      <c r="Z462" t="s">
        <v>569</v>
      </c>
      <c r="AA462" t="s">
        <v>1229</v>
      </c>
      <c r="AB462">
        <v>50</v>
      </c>
      <c r="AC4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3" spans="1:29" x14ac:dyDescent="0.25">
      <c r="A463" t="s">
        <v>715</v>
      </c>
      <c r="B463" t="s">
        <v>521</v>
      </c>
      <c r="C463" t="s">
        <v>525</v>
      </c>
      <c r="D463" t="s">
        <v>522</v>
      </c>
      <c r="E463" t="s">
        <v>523</v>
      </c>
      <c r="F463" t="s">
        <v>569</v>
      </c>
      <c r="G463" t="s">
        <v>569</v>
      </c>
      <c r="H463" t="s">
        <v>569</v>
      </c>
      <c r="I463" t="s">
        <v>569</v>
      </c>
      <c r="J463" t="s">
        <v>569</v>
      </c>
      <c r="K463">
        <v>0</v>
      </c>
      <c r="L463" t="s">
        <v>569</v>
      </c>
      <c r="M463" t="s">
        <v>569</v>
      </c>
      <c r="N463" t="s">
        <v>569</v>
      </c>
      <c r="O463" t="s">
        <v>569</v>
      </c>
      <c r="P463" t="s">
        <v>569</v>
      </c>
      <c r="Q463" t="s">
        <v>569</v>
      </c>
      <c r="R463">
        <v>-31.827398720000001</v>
      </c>
      <c r="S463" t="s">
        <v>1111</v>
      </c>
      <c r="T463">
        <v>115.83302020000001</v>
      </c>
      <c r="U463" t="s">
        <v>1201</v>
      </c>
      <c r="V463" t="s">
        <v>569</v>
      </c>
      <c r="W463" t="s">
        <v>569</v>
      </c>
      <c r="X463" t="s">
        <v>569</v>
      </c>
      <c r="Y463" t="s">
        <v>569</v>
      </c>
      <c r="Z463" s="9">
        <v>0</v>
      </c>
      <c r="AA463" t="s">
        <v>1229</v>
      </c>
      <c r="AB463">
        <v>50</v>
      </c>
      <c r="AC4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4" spans="1:29" x14ac:dyDescent="0.25">
      <c r="A464" t="s">
        <v>789</v>
      </c>
      <c r="B464" t="s">
        <v>784</v>
      </c>
      <c r="C464" t="s">
        <v>784</v>
      </c>
      <c r="D464" t="s">
        <v>777</v>
      </c>
      <c r="E464" t="s">
        <v>778</v>
      </c>
      <c r="F464" t="s">
        <v>569</v>
      </c>
      <c r="G464" t="s">
        <v>569</v>
      </c>
      <c r="H464" t="s">
        <v>569</v>
      </c>
      <c r="I464" t="s">
        <v>569</v>
      </c>
      <c r="J464" t="s">
        <v>569</v>
      </c>
      <c r="K464">
        <v>0</v>
      </c>
      <c r="L464" t="s">
        <v>569</v>
      </c>
      <c r="M464" t="s">
        <v>569</v>
      </c>
      <c r="N464" t="s">
        <v>569</v>
      </c>
      <c r="O464" t="s">
        <v>569</v>
      </c>
      <c r="P464" t="s">
        <v>569</v>
      </c>
      <c r="Q464" t="s">
        <v>569</v>
      </c>
      <c r="R464">
        <v>13.76656367</v>
      </c>
      <c r="S464" t="s">
        <v>1213</v>
      </c>
      <c r="T464">
        <v>100.5140126</v>
      </c>
      <c r="U464" t="s">
        <v>1201</v>
      </c>
      <c r="V464" t="s">
        <v>569</v>
      </c>
      <c r="W464" t="s">
        <v>569</v>
      </c>
      <c r="X464" t="s">
        <v>569</v>
      </c>
      <c r="Y464" t="s">
        <v>569</v>
      </c>
      <c r="Z464" t="s">
        <v>569</v>
      </c>
      <c r="AA464" t="s">
        <v>1229</v>
      </c>
      <c r="AB464">
        <v>50</v>
      </c>
      <c r="AC4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5" spans="1:29" x14ac:dyDescent="0.25">
      <c r="A465" t="s">
        <v>717</v>
      </c>
      <c r="B465" t="s">
        <v>716</v>
      </c>
      <c r="C465" t="s">
        <v>525</v>
      </c>
      <c r="D465" t="s">
        <v>522</v>
      </c>
      <c r="E465" t="s">
        <v>523</v>
      </c>
      <c r="F465" t="s">
        <v>569</v>
      </c>
      <c r="G465" t="s">
        <v>569</v>
      </c>
      <c r="H465" t="s">
        <v>569</v>
      </c>
      <c r="I465" t="s">
        <v>569</v>
      </c>
      <c r="J465" t="s">
        <v>569</v>
      </c>
      <c r="K465">
        <v>0</v>
      </c>
      <c r="L465" t="s">
        <v>569</v>
      </c>
      <c r="M465" t="s">
        <v>569</v>
      </c>
      <c r="N465" t="s">
        <v>569</v>
      </c>
      <c r="O465" t="s">
        <v>569</v>
      </c>
      <c r="P465" t="s">
        <v>569</v>
      </c>
      <c r="Q465" t="s">
        <v>569</v>
      </c>
      <c r="R465">
        <v>-31.85209884</v>
      </c>
      <c r="S465" t="s">
        <v>1111</v>
      </c>
      <c r="T465">
        <v>115.98657129999999</v>
      </c>
      <c r="U465" t="s">
        <v>1201</v>
      </c>
      <c r="V465" t="s">
        <v>569</v>
      </c>
      <c r="W465" t="s">
        <v>569</v>
      </c>
      <c r="X465" t="s">
        <v>569</v>
      </c>
      <c r="Y465" t="s">
        <v>569</v>
      </c>
      <c r="Z465" s="9">
        <v>0</v>
      </c>
      <c r="AA465" t="s">
        <v>1229</v>
      </c>
      <c r="AB465">
        <v>50</v>
      </c>
      <c r="AC4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6" spans="1:29" x14ac:dyDescent="0.25">
      <c r="A466" t="s">
        <v>872</v>
      </c>
      <c r="B466" t="s">
        <v>505</v>
      </c>
      <c r="C466" t="s">
        <v>504</v>
      </c>
      <c r="D466" t="s">
        <v>501</v>
      </c>
      <c r="E466" t="s">
        <v>502</v>
      </c>
      <c r="F466" t="s">
        <v>569</v>
      </c>
      <c r="G466" t="s">
        <v>569</v>
      </c>
      <c r="H466" t="s">
        <v>569</v>
      </c>
      <c r="I466" t="s">
        <v>569</v>
      </c>
      <c r="J466" t="s">
        <v>569</v>
      </c>
      <c r="K466">
        <v>0</v>
      </c>
      <c r="L466" t="s">
        <v>569</v>
      </c>
      <c r="M466" t="s">
        <v>569</v>
      </c>
      <c r="N466" t="s">
        <v>569</v>
      </c>
      <c r="O466" t="s">
        <v>569</v>
      </c>
      <c r="P466" t="s">
        <v>569</v>
      </c>
      <c r="Q466" t="s">
        <v>569</v>
      </c>
      <c r="R466">
        <v>48.462165370000001</v>
      </c>
      <c r="S466" t="s">
        <v>1213</v>
      </c>
      <c r="T466">
        <v>-123.40915560000001</v>
      </c>
      <c r="U466" t="s">
        <v>1206</v>
      </c>
      <c r="V466" t="s">
        <v>569</v>
      </c>
      <c r="W466" t="s">
        <v>569</v>
      </c>
      <c r="X466" t="s">
        <v>569</v>
      </c>
      <c r="Y466" t="s">
        <v>569</v>
      </c>
      <c r="Z466" t="s">
        <v>569</v>
      </c>
      <c r="AA466" t="s">
        <v>1229</v>
      </c>
      <c r="AB466">
        <v>50</v>
      </c>
      <c r="AC4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7" spans="1:29" x14ac:dyDescent="0.25">
      <c r="A467" t="s">
        <v>808</v>
      </c>
      <c r="B467" t="s">
        <v>505</v>
      </c>
      <c r="C467" t="s">
        <v>504</v>
      </c>
      <c r="D467" t="s">
        <v>501</v>
      </c>
      <c r="E467" t="s">
        <v>502</v>
      </c>
      <c r="F467" t="s">
        <v>569</v>
      </c>
      <c r="G467" t="s">
        <v>569</v>
      </c>
      <c r="H467" t="s">
        <v>569</v>
      </c>
      <c r="I467" t="s">
        <v>569</v>
      </c>
      <c r="J467">
        <v>21.803194229999999</v>
      </c>
      <c r="K467">
        <v>0</v>
      </c>
      <c r="L467" t="s">
        <v>569</v>
      </c>
      <c r="M467" t="s">
        <v>569</v>
      </c>
      <c r="N467" t="s">
        <v>569</v>
      </c>
      <c r="O467" t="s">
        <v>569</v>
      </c>
      <c r="P467" t="s">
        <v>569</v>
      </c>
      <c r="Q467" t="s">
        <v>569</v>
      </c>
      <c r="R467">
        <v>48.470166669999998</v>
      </c>
      <c r="S467" t="s">
        <v>1213</v>
      </c>
      <c r="T467">
        <v>-123.4061667</v>
      </c>
      <c r="U467" t="s">
        <v>1206</v>
      </c>
      <c r="V467" t="s">
        <v>569</v>
      </c>
      <c r="W467" t="s">
        <v>569</v>
      </c>
      <c r="X467" t="s">
        <v>569</v>
      </c>
      <c r="Y467" t="s">
        <v>569</v>
      </c>
      <c r="Z467" s="9">
        <v>3.5763888888888887E-2</v>
      </c>
      <c r="AA467" t="s">
        <v>1229</v>
      </c>
      <c r="AB467">
        <v>50</v>
      </c>
      <c r="AC4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8" spans="1:29" x14ac:dyDescent="0.25">
      <c r="A468" t="s">
        <v>634</v>
      </c>
      <c r="B468" t="s">
        <v>557</v>
      </c>
      <c r="C468" t="s">
        <v>504</v>
      </c>
      <c r="D468" t="s">
        <v>501</v>
      </c>
      <c r="E468" t="s">
        <v>502</v>
      </c>
      <c r="F468" t="s">
        <v>569</v>
      </c>
      <c r="G468" t="s">
        <v>569</v>
      </c>
      <c r="H468" t="s">
        <v>569</v>
      </c>
      <c r="I468" t="s">
        <v>569</v>
      </c>
      <c r="J468" t="s">
        <v>569</v>
      </c>
      <c r="K468">
        <v>0</v>
      </c>
      <c r="L468" t="s">
        <v>569</v>
      </c>
      <c r="M468" t="s">
        <v>569</v>
      </c>
      <c r="N468" t="s">
        <v>569</v>
      </c>
      <c r="O468" t="s">
        <v>569</v>
      </c>
      <c r="P468" t="s">
        <v>569</v>
      </c>
      <c r="Q468" t="s">
        <v>569</v>
      </c>
      <c r="R468">
        <v>49.863881110000001</v>
      </c>
      <c r="S468" t="s">
        <v>1213</v>
      </c>
      <c r="T468">
        <v>-124.5452951</v>
      </c>
      <c r="U468" t="s">
        <v>1206</v>
      </c>
      <c r="V468" t="s">
        <v>569</v>
      </c>
      <c r="W468" t="s">
        <v>569</v>
      </c>
      <c r="X468" t="s">
        <v>569</v>
      </c>
      <c r="Y468" t="s">
        <v>569</v>
      </c>
      <c r="Z468" t="s">
        <v>569</v>
      </c>
      <c r="AA468" t="s">
        <v>1229</v>
      </c>
      <c r="AB468">
        <v>50</v>
      </c>
      <c r="AC46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69" spans="1:29" x14ac:dyDescent="0.25">
      <c r="A469" t="s">
        <v>962</v>
      </c>
      <c r="B469" t="s">
        <v>505</v>
      </c>
      <c r="C469" t="s">
        <v>504</v>
      </c>
      <c r="D469" t="s">
        <v>501</v>
      </c>
      <c r="E469" t="s">
        <v>502</v>
      </c>
      <c r="F469" t="s">
        <v>569</v>
      </c>
      <c r="G469" t="s">
        <v>569</v>
      </c>
      <c r="H469" t="s">
        <v>569</v>
      </c>
      <c r="I469" t="s">
        <v>569</v>
      </c>
      <c r="J469">
        <v>10.90068943</v>
      </c>
      <c r="K469">
        <v>0</v>
      </c>
      <c r="L469">
        <v>301.99523809999999</v>
      </c>
      <c r="M469" t="s">
        <v>1204</v>
      </c>
      <c r="N469" t="s">
        <v>569</v>
      </c>
      <c r="O469">
        <v>16.002416629999999</v>
      </c>
      <c r="P469">
        <v>301.99523809999999</v>
      </c>
      <c r="Q469" t="s">
        <v>1204</v>
      </c>
      <c r="R469">
        <v>48.428177779999999</v>
      </c>
      <c r="S469" t="s">
        <v>1213</v>
      </c>
      <c r="T469">
        <v>-123.3685083</v>
      </c>
      <c r="U469" t="s">
        <v>1206</v>
      </c>
      <c r="V469" t="s">
        <v>569</v>
      </c>
      <c r="W469" t="s">
        <v>569</v>
      </c>
      <c r="X469">
        <v>0.41532295699999999</v>
      </c>
      <c r="Y469" t="s">
        <v>1214</v>
      </c>
      <c r="Z469" t="s">
        <v>569</v>
      </c>
      <c r="AA469" t="s">
        <v>1229</v>
      </c>
      <c r="AB469">
        <v>50</v>
      </c>
      <c r="AC4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0" spans="1:29" x14ac:dyDescent="0.25">
      <c r="A470" t="s">
        <v>531</v>
      </c>
      <c r="B470" t="s">
        <v>505</v>
      </c>
      <c r="C470" t="s">
        <v>504</v>
      </c>
      <c r="D470" t="s">
        <v>501</v>
      </c>
      <c r="E470" t="s">
        <v>502</v>
      </c>
      <c r="F470" t="s">
        <v>569</v>
      </c>
      <c r="G470" t="s">
        <v>569</v>
      </c>
      <c r="H470" t="s">
        <v>569</v>
      </c>
      <c r="I470" t="s">
        <v>569</v>
      </c>
      <c r="J470" t="s">
        <v>569</v>
      </c>
      <c r="K470">
        <v>0</v>
      </c>
      <c r="L470" t="s">
        <v>569</v>
      </c>
      <c r="M470" t="s">
        <v>569</v>
      </c>
      <c r="N470" t="s">
        <v>569</v>
      </c>
      <c r="O470" t="s">
        <v>569</v>
      </c>
      <c r="P470" t="s">
        <v>569</v>
      </c>
      <c r="Q470" t="s">
        <v>569</v>
      </c>
      <c r="R470">
        <v>48.363776989999998</v>
      </c>
      <c r="S470" t="s">
        <v>1213</v>
      </c>
      <c r="T470">
        <v>-123.6021137</v>
      </c>
      <c r="U470" t="s">
        <v>1206</v>
      </c>
      <c r="V470" t="s">
        <v>569</v>
      </c>
      <c r="W470" t="s">
        <v>569</v>
      </c>
      <c r="X470" t="s">
        <v>569</v>
      </c>
      <c r="Y470" t="s">
        <v>569</v>
      </c>
      <c r="Z470" t="s">
        <v>569</v>
      </c>
      <c r="AA470" t="s">
        <v>1229</v>
      </c>
      <c r="AB470">
        <v>50</v>
      </c>
      <c r="AC47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1" spans="1:29" x14ac:dyDescent="0.25">
      <c r="A471" t="s">
        <v>799</v>
      </c>
      <c r="B471" t="s">
        <v>794</v>
      </c>
      <c r="C471" t="s">
        <v>794</v>
      </c>
      <c r="D471" t="s">
        <v>795</v>
      </c>
      <c r="E471" t="s">
        <v>796</v>
      </c>
      <c r="F471" t="s">
        <v>569</v>
      </c>
      <c r="G471" t="s">
        <v>569</v>
      </c>
      <c r="H471" t="s">
        <v>569</v>
      </c>
      <c r="I471" t="s">
        <v>569</v>
      </c>
      <c r="J471" t="s">
        <v>569</v>
      </c>
      <c r="K471">
        <v>0</v>
      </c>
      <c r="L471" t="s">
        <v>569</v>
      </c>
      <c r="M471" t="s">
        <v>569</v>
      </c>
      <c r="N471" t="s">
        <v>569</v>
      </c>
      <c r="O471" t="s">
        <v>569</v>
      </c>
      <c r="P471" t="s">
        <v>569</v>
      </c>
      <c r="Q471" t="s">
        <v>569</v>
      </c>
      <c r="R471">
        <v>10.80044786</v>
      </c>
      <c r="S471" t="s">
        <v>1213</v>
      </c>
      <c r="T471">
        <v>106.6610026</v>
      </c>
      <c r="U471" t="s">
        <v>1201</v>
      </c>
      <c r="V471" t="s">
        <v>569</v>
      </c>
      <c r="W471" t="s">
        <v>569</v>
      </c>
      <c r="X471" t="s">
        <v>569</v>
      </c>
      <c r="Y471" t="s">
        <v>569</v>
      </c>
      <c r="Z471" t="s">
        <v>569</v>
      </c>
      <c r="AA471" t="s">
        <v>1229</v>
      </c>
      <c r="AB471">
        <v>50</v>
      </c>
      <c r="AC47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2" spans="1:29" x14ac:dyDescent="0.25">
      <c r="A472" t="s">
        <v>1002</v>
      </c>
      <c r="B472" t="s">
        <v>505</v>
      </c>
      <c r="C472" t="s">
        <v>504</v>
      </c>
      <c r="D472" t="s">
        <v>501</v>
      </c>
      <c r="E472" t="s">
        <v>502</v>
      </c>
      <c r="F472" t="s">
        <v>569</v>
      </c>
      <c r="G472" t="s">
        <v>569</v>
      </c>
      <c r="H472" t="s">
        <v>569</v>
      </c>
      <c r="I472" t="s">
        <v>569</v>
      </c>
      <c r="J472" t="s">
        <v>569</v>
      </c>
      <c r="K472" t="s">
        <v>569</v>
      </c>
      <c r="L472" t="s">
        <v>569</v>
      </c>
      <c r="M472" t="s">
        <v>569</v>
      </c>
      <c r="N472" t="s">
        <v>569</v>
      </c>
      <c r="O472" t="s">
        <v>569</v>
      </c>
      <c r="P472" t="s">
        <v>569</v>
      </c>
      <c r="Q472" t="s">
        <v>569</v>
      </c>
      <c r="R472">
        <v>48.467246490000001</v>
      </c>
      <c r="S472" t="s">
        <v>1213</v>
      </c>
      <c r="T472">
        <v>-123.3916298</v>
      </c>
      <c r="U472" t="s">
        <v>1206</v>
      </c>
      <c r="V472" t="s">
        <v>569</v>
      </c>
      <c r="W472" t="s">
        <v>569</v>
      </c>
      <c r="X472" t="s">
        <v>569</v>
      </c>
      <c r="Y472" t="s">
        <v>569</v>
      </c>
      <c r="Z472" t="s">
        <v>569</v>
      </c>
      <c r="AA472" t="s">
        <v>569</v>
      </c>
      <c r="AB472">
        <v>50</v>
      </c>
      <c r="AC47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3" spans="1:29" x14ac:dyDescent="0.25">
      <c r="A473" t="s">
        <v>829</v>
      </c>
      <c r="B473" t="s">
        <v>505</v>
      </c>
      <c r="C473" t="s">
        <v>504</v>
      </c>
      <c r="D473" t="s">
        <v>501</v>
      </c>
      <c r="E473" t="s">
        <v>502</v>
      </c>
      <c r="F473" t="s">
        <v>569</v>
      </c>
      <c r="G473" t="s">
        <v>569</v>
      </c>
      <c r="H473" t="s">
        <v>569</v>
      </c>
      <c r="I473" t="s">
        <v>569</v>
      </c>
      <c r="J473" t="s">
        <v>569</v>
      </c>
      <c r="K473">
        <v>0</v>
      </c>
      <c r="L473" t="s">
        <v>569</v>
      </c>
      <c r="M473" t="s">
        <v>569</v>
      </c>
      <c r="N473" t="s">
        <v>569</v>
      </c>
      <c r="O473" t="s">
        <v>569</v>
      </c>
      <c r="P473" t="s">
        <v>569</v>
      </c>
      <c r="Q473" t="s">
        <v>569</v>
      </c>
      <c r="R473">
        <v>48.428809010000002</v>
      </c>
      <c r="S473" t="s">
        <v>1213</v>
      </c>
      <c r="T473">
        <v>-123.3666801</v>
      </c>
      <c r="U473" t="s">
        <v>1206</v>
      </c>
      <c r="V473" t="s">
        <v>569</v>
      </c>
      <c r="W473" t="s">
        <v>569</v>
      </c>
      <c r="X473" t="s">
        <v>569</v>
      </c>
      <c r="Y473" t="s">
        <v>569</v>
      </c>
      <c r="Z473" t="s">
        <v>569</v>
      </c>
      <c r="AA473" t="s">
        <v>1229</v>
      </c>
      <c r="AB473">
        <v>50</v>
      </c>
      <c r="AC4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4" spans="1:29" x14ac:dyDescent="0.25">
      <c r="A474" t="s">
        <v>701</v>
      </c>
      <c r="B474" t="s">
        <v>696</v>
      </c>
      <c r="C474" t="s">
        <v>677</v>
      </c>
      <c r="D474" t="s">
        <v>522</v>
      </c>
      <c r="E474" t="s">
        <v>523</v>
      </c>
      <c r="F474" t="s">
        <v>569</v>
      </c>
      <c r="G474" t="s">
        <v>569</v>
      </c>
      <c r="H474" t="s">
        <v>569</v>
      </c>
      <c r="I474" t="s">
        <v>569</v>
      </c>
      <c r="J474" t="s">
        <v>569</v>
      </c>
      <c r="K474">
        <v>0</v>
      </c>
      <c r="L474" t="s">
        <v>569</v>
      </c>
      <c r="M474" t="s">
        <v>569</v>
      </c>
      <c r="N474" t="s">
        <v>569</v>
      </c>
      <c r="O474" t="s">
        <v>569</v>
      </c>
      <c r="P474" t="s">
        <v>569</v>
      </c>
      <c r="Q474" t="s">
        <v>569</v>
      </c>
      <c r="R474">
        <v>-33.933782430000001</v>
      </c>
      <c r="S474" t="s">
        <v>1111</v>
      </c>
      <c r="T474">
        <v>151.15694049999999</v>
      </c>
      <c r="U474" t="s">
        <v>1201</v>
      </c>
      <c r="V474" t="s">
        <v>569</v>
      </c>
      <c r="W474" t="s">
        <v>569</v>
      </c>
      <c r="X474" t="s">
        <v>569</v>
      </c>
      <c r="Y474" t="s">
        <v>569</v>
      </c>
      <c r="Z474" s="9">
        <v>0</v>
      </c>
      <c r="AA474" t="s">
        <v>1229</v>
      </c>
      <c r="AB474">
        <v>50</v>
      </c>
      <c r="AC47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5" spans="1:29" x14ac:dyDescent="0.25">
      <c r="A475" t="s">
        <v>905</v>
      </c>
      <c r="B475" t="s">
        <v>505</v>
      </c>
      <c r="C475" t="s">
        <v>504</v>
      </c>
      <c r="D475" t="s">
        <v>501</v>
      </c>
      <c r="E475" t="s">
        <v>502</v>
      </c>
      <c r="F475" t="s">
        <v>569</v>
      </c>
      <c r="G475" t="s">
        <v>569</v>
      </c>
      <c r="H475" t="s">
        <v>569</v>
      </c>
      <c r="I475" t="s">
        <v>569</v>
      </c>
      <c r="J475" t="s">
        <v>569</v>
      </c>
      <c r="K475">
        <v>0</v>
      </c>
      <c r="L475" t="s">
        <v>569</v>
      </c>
      <c r="M475" t="s">
        <v>569</v>
      </c>
      <c r="N475" t="s">
        <v>569</v>
      </c>
      <c r="O475" t="s">
        <v>569</v>
      </c>
      <c r="P475" t="s">
        <v>569</v>
      </c>
      <c r="Q475" t="s">
        <v>569</v>
      </c>
      <c r="R475">
        <v>48.379200140000002</v>
      </c>
      <c r="S475" t="s">
        <v>1213</v>
      </c>
      <c r="T475">
        <v>-123.5352731</v>
      </c>
      <c r="U475" t="s">
        <v>1206</v>
      </c>
      <c r="V475" t="s">
        <v>569</v>
      </c>
      <c r="W475" t="s">
        <v>569</v>
      </c>
      <c r="X475" t="s">
        <v>569</v>
      </c>
      <c r="Y475" t="s">
        <v>569</v>
      </c>
      <c r="Z475" t="s">
        <v>569</v>
      </c>
      <c r="AA475" t="s">
        <v>1229</v>
      </c>
      <c r="AB475">
        <v>50</v>
      </c>
      <c r="AC4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6" spans="1:29" x14ac:dyDescent="0.25">
      <c r="A476" t="s">
        <v>857</v>
      </c>
      <c r="B476" t="s">
        <v>505</v>
      </c>
      <c r="C476" t="s">
        <v>504</v>
      </c>
      <c r="D476" t="s">
        <v>501</v>
      </c>
      <c r="E476" t="s">
        <v>502</v>
      </c>
      <c r="F476" t="s">
        <v>569</v>
      </c>
      <c r="G476" t="s">
        <v>569</v>
      </c>
      <c r="H476" t="s">
        <v>569</v>
      </c>
      <c r="I476" t="s">
        <v>569</v>
      </c>
      <c r="J476" t="s">
        <v>569</v>
      </c>
      <c r="K476">
        <v>0</v>
      </c>
      <c r="L476" t="s">
        <v>569</v>
      </c>
      <c r="M476" t="s">
        <v>569</v>
      </c>
      <c r="N476" t="s">
        <v>569</v>
      </c>
      <c r="O476" t="s">
        <v>569</v>
      </c>
      <c r="P476" t="s">
        <v>569</v>
      </c>
      <c r="Q476" t="s">
        <v>569</v>
      </c>
      <c r="R476">
        <v>48.462661599999997</v>
      </c>
      <c r="S476" t="s">
        <v>1213</v>
      </c>
      <c r="T476">
        <v>-123.4967351</v>
      </c>
      <c r="U476" t="s">
        <v>1206</v>
      </c>
      <c r="V476" t="s">
        <v>569</v>
      </c>
      <c r="W476" t="s">
        <v>569</v>
      </c>
      <c r="X476" t="s">
        <v>569</v>
      </c>
      <c r="Y476" t="s">
        <v>569</v>
      </c>
      <c r="Z476" t="s">
        <v>569</v>
      </c>
      <c r="AA476" t="s">
        <v>1229</v>
      </c>
      <c r="AB476">
        <v>50</v>
      </c>
      <c r="AC4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7" spans="1:29" x14ac:dyDescent="0.25">
      <c r="A477" t="s">
        <v>900</v>
      </c>
      <c r="B477" t="s">
        <v>896</v>
      </c>
      <c r="C477" t="s">
        <v>504</v>
      </c>
      <c r="D477" t="s">
        <v>501</v>
      </c>
      <c r="E477" t="s">
        <v>502</v>
      </c>
      <c r="F477" t="s">
        <v>569</v>
      </c>
      <c r="G477" t="s">
        <v>569</v>
      </c>
      <c r="H477" t="s">
        <v>569</v>
      </c>
      <c r="I477" t="s">
        <v>569</v>
      </c>
      <c r="J477">
        <v>1.632871035</v>
      </c>
      <c r="K477">
        <v>0</v>
      </c>
      <c r="L477" t="s">
        <v>569</v>
      </c>
      <c r="M477" t="s">
        <v>569</v>
      </c>
      <c r="N477" t="s">
        <v>569</v>
      </c>
      <c r="O477" t="s">
        <v>569</v>
      </c>
      <c r="P477">
        <v>273.176087</v>
      </c>
      <c r="Q477" t="s">
        <v>1205</v>
      </c>
      <c r="R477">
        <v>48.851882140000001</v>
      </c>
      <c r="S477" t="s">
        <v>1213</v>
      </c>
      <c r="T477">
        <v>-123.30068230000001</v>
      </c>
      <c r="U477" t="s">
        <v>1206</v>
      </c>
      <c r="V477" t="s">
        <v>1231</v>
      </c>
      <c r="W477" t="s">
        <v>569</v>
      </c>
      <c r="X477" t="s">
        <v>569</v>
      </c>
      <c r="Y477" t="s">
        <v>569</v>
      </c>
      <c r="Z477" t="s">
        <v>569</v>
      </c>
      <c r="AA477" t="s">
        <v>1229</v>
      </c>
      <c r="AB477">
        <v>50</v>
      </c>
      <c r="AC4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8" spans="1:29" x14ac:dyDescent="0.25">
      <c r="A478" t="s">
        <v>694</v>
      </c>
      <c r="B478" t="s">
        <v>675</v>
      </c>
      <c r="C478" t="s">
        <v>677</v>
      </c>
      <c r="D478" t="s">
        <v>522</v>
      </c>
      <c r="E478" t="s">
        <v>523</v>
      </c>
      <c r="F478" t="s">
        <v>569</v>
      </c>
      <c r="G478" t="s">
        <v>569</v>
      </c>
      <c r="H478" t="s">
        <v>569</v>
      </c>
      <c r="I478" t="s">
        <v>569</v>
      </c>
      <c r="J478" t="s">
        <v>569</v>
      </c>
      <c r="K478">
        <v>0</v>
      </c>
      <c r="L478" t="s">
        <v>569</v>
      </c>
      <c r="M478" t="s">
        <v>569</v>
      </c>
      <c r="N478" t="s">
        <v>569</v>
      </c>
      <c r="O478" t="s">
        <v>569</v>
      </c>
      <c r="P478" t="s">
        <v>569</v>
      </c>
      <c r="Q478" t="s">
        <v>569</v>
      </c>
      <c r="R478">
        <v>-31.465421620000001</v>
      </c>
      <c r="S478" t="s">
        <v>1111</v>
      </c>
      <c r="T478">
        <v>152.93406490000001</v>
      </c>
      <c r="U478" t="s">
        <v>1201</v>
      </c>
      <c r="V478" t="s">
        <v>569</v>
      </c>
      <c r="W478" t="s">
        <v>569</v>
      </c>
      <c r="X478" t="s">
        <v>569</v>
      </c>
      <c r="Y478" t="s">
        <v>569</v>
      </c>
      <c r="Z478" s="9">
        <v>0</v>
      </c>
      <c r="AA478" t="s">
        <v>1229</v>
      </c>
      <c r="AB478">
        <v>50</v>
      </c>
      <c r="AC4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79" spans="1:29" x14ac:dyDescent="0.25">
      <c r="A479" t="s">
        <v>587</v>
      </c>
      <c r="B479" t="s">
        <v>505</v>
      </c>
      <c r="C479" t="s">
        <v>504</v>
      </c>
      <c r="D479" t="s">
        <v>501</v>
      </c>
      <c r="E479" t="s">
        <v>502</v>
      </c>
      <c r="F479" t="s">
        <v>569</v>
      </c>
      <c r="G479" t="s">
        <v>569</v>
      </c>
      <c r="H479" t="s">
        <v>569</v>
      </c>
      <c r="I479" t="s">
        <v>569</v>
      </c>
      <c r="J479" t="s">
        <v>569</v>
      </c>
      <c r="K479">
        <v>0</v>
      </c>
      <c r="L479" t="s">
        <v>569</v>
      </c>
      <c r="M479" t="s">
        <v>569</v>
      </c>
      <c r="N479" t="s">
        <v>569</v>
      </c>
      <c r="O479" t="s">
        <v>569</v>
      </c>
      <c r="P479" t="s">
        <v>569</v>
      </c>
      <c r="Q479" t="s">
        <v>569</v>
      </c>
      <c r="R479">
        <v>48.422346210000001</v>
      </c>
      <c r="S479" t="s">
        <v>1213</v>
      </c>
      <c r="T479">
        <v>-123.3668813</v>
      </c>
      <c r="U479" t="s">
        <v>1206</v>
      </c>
      <c r="V479" t="s">
        <v>569</v>
      </c>
      <c r="W479" t="s">
        <v>569</v>
      </c>
      <c r="X479" t="s">
        <v>569</v>
      </c>
      <c r="Y479" t="s">
        <v>569</v>
      </c>
      <c r="Z479" t="s">
        <v>569</v>
      </c>
      <c r="AA479" t="s">
        <v>1229</v>
      </c>
      <c r="AB479">
        <v>50</v>
      </c>
      <c r="AC4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0" spans="1:29" x14ac:dyDescent="0.25">
      <c r="A480" t="s">
        <v>944</v>
      </c>
      <c r="B480" t="s">
        <v>943</v>
      </c>
      <c r="C480" t="s">
        <v>707</v>
      </c>
      <c r="D480" t="s">
        <v>522</v>
      </c>
      <c r="E480" t="s">
        <v>523</v>
      </c>
      <c r="F480" t="s">
        <v>569</v>
      </c>
      <c r="G480" t="s">
        <v>569</v>
      </c>
      <c r="H480" t="s">
        <v>569</v>
      </c>
      <c r="I480" t="s">
        <v>569</v>
      </c>
      <c r="J480" t="s">
        <v>569</v>
      </c>
      <c r="K480">
        <v>0</v>
      </c>
      <c r="L480" t="s">
        <v>569</v>
      </c>
      <c r="M480" t="s">
        <v>569</v>
      </c>
      <c r="N480" t="s">
        <v>569</v>
      </c>
      <c r="O480" t="s">
        <v>569</v>
      </c>
      <c r="P480" t="s">
        <v>569</v>
      </c>
      <c r="Q480" t="s">
        <v>569</v>
      </c>
      <c r="R480">
        <v>-16.91965557</v>
      </c>
      <c r="S480" t="s">
        <v>1111</v>
      </c>
      <c r="T480">
        <v>145.769993</v>
      </c>
      <c r="U480" t="s">
        <v>1201</v>
      </c>
      <c r="V480" t="s">
        <v>569</v>
      </c>
      <c r="W480" t="s">
        <v>569</v>
      </c>
      <c r="X480" t="s">
        <v>569</v>
      </c>
      <c r="Y480" t="s">
        <v>569</v>
      </c>
      <c r="Z480" t="s">
        <v>569</v>
      </c>
      <c r="AA480" t="s">
        <v>1229</v>
      </c>
      <c r="AB480">
        <v>50</v>
      </c>
      <c r="AC48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1" spans="1:29" x14ac:dyDescent="0.25">
      <c r="A481" t="s">
        <v>624</v>
      </c>
      <c r="B481" t="s">
        <v>609</v>
      </c>
      <c r="C481" t="s">
        <v>613</v>
      </c>
      <c r="D481" t="s">
        <v>610</v>
      </c>
      <c r="E481" t="s">
        <v>611</v>
      </c>
      <c r="F481" t="s">
        <v>569</v>
      </c>
      <c r="G481" t="s">
        <v>569</v>
      </c>
      <c r="H481" t="s">
        <v>569</v>
      </c>
      <c r="I481" t="s">
        <v>569</v>
      </c>
      <c r="J481" t="s">
        <v>569</v>
      </c>
      <c r="K481">
        <v>0</v>
      </c>
      <c r="L481" t="s">
        <v>569</v>
      </c>
      <c r="M481" t="s">
        <v>569</v>
      </c>
      <c r="N481" t="s">
        <v>569</v>
      </c>
      <c r="O481" t="s">
        <v>569</v>
      </c>
      <c r="P481" t="s">
        <v>569</v>
      </c>
      <c r="Q481" t="s">
        <v>569</v>
      </c>
      <c r="R481">
        <v>35.94803812</v>
      </c>
      <c r="S481" t="s">
        <v>1213</v>
      </c>
      <c r="T481">
        <v>139.87921180000001</v>
      </c>
      <c r="U481" t="s">
        <v>1201</v>
      </c>
      <c r="V481" t="s">
        <v>569</v>
      </c>
      <c r="W481" t="s">
        <v>569</v>
      </c>
      <c r="X481" t="s">
        <v>569</v>
      </c>
      <c r="Y481" t="s">
        <v>569</v>
      </c>
      <c r="Z481" t="s">
        <v>569</v>
      </c>
      <c r="AA481" t="s">
        <v>1229</v>
      </c>
      <c r="AB481">
        <v>50</v>
      </c>
      <c r="AC4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2" spans="1:29" x14ac:dyDescent="0.25">
      <c r="A482" t="s">
        <v>519</v>
      </c>
      <c r="B482" t="s">
        <v>505</v>
      </c>
      <c r="C482" t="s">
        <v>504</v>
      </c>
      <c r="D482" t="s">
        <v>501</v>
      </c>
      <c r="E482" t="s">
        <v>502</v>
      </c>
      <c r="F482" t="s">
        <v>569</v>
      </c>
      <c r="G482" t="s">
        <v>569</v>
      </c>
      <c r="H482" t="s">
        <v>569</v>
      </c>
      <c r="I482" t="s">
        <v>569</v>
      </c>
      <c r="J482" t="s">
        <v>569</v>
      </c>
      <c r="K482">
        <v>0</v>
      </c>
      <c r="L482" t="s">
        <v>569</v>
      </c>
      <c r="M482" t="s">
        <v>569</v>
      </c>
      <c r="N482" t="s">
        <v>569</v>
      </c>
      <c r="O482" t="s">
        <v>569</v>
      </c>
      <c r="P482" t="s">
        <v>569</v>
      </c>
      <c r="Q482" t="s">
        <v>569</v>
      </c>
      <c r="R482">
        <v>48.497554510000001</v>
      </c>
      <c r="S482" t="s">
        <v>1213</v>
      </c>
      <c r="T482">
        <v>-123.3350945</v>
      </c>
      <c r="U482" t="s">
        <v>1206</v>
      </c>
      <c r="V482" t="s">
        <v>569</v>
      </c>
      <c r="W482" t="s">
        <v>569</v>
      </c>
      <c r="X482" t="s">
        <v>569</v>
      </c>
      <c r="Y482" t="s">
        <v>569</v>
      </c>
      <c r="Z482" t="s">
        <v>569</v>
      </c>
      <c r="AA482" t="s">
        <v>1229</v>
      </c>
      <c r="AB482">
        <v>50</v>
      </c>
      <c r="AC4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3" spans="1:29" x14ac:dyDescent="0.25">
      <c r="A483" t="s">
        <v>1297</v>
      </c>
      <c r="B483" t="s">
        <v>505</v>
      </c>
      <c r="C483" t="s">
        <v>504</v>
      </c>
      <c r="D483" t="s">
        <v>501</v>
      </c>
      <c r="E483" t="s">
        <v>502</v>
      </c>
      <c r="F483" t="s">
        <v>569</v>
      </c>
      <c r="G483" t="s">
        <v>569</v>
      </c>
      <c r="H483" t="s">
        <v>569</v>
      </c>
      <c r="I483" t="s">
        <v>569</v>
      </c>
      <c r="J483" t="s">
        <v>569</v>
      </c>
      <c r="K483" t="s">
        <v>569</v>
      </c>
      <c r="L483" t="s">
        <v>569</v>
      </c>
      <c r="M483" t="s">
        <v>569</v>
      </c>
      <c r="N483" t="s">
        <v>569</v>
      </c>
      <c r="O483" t="s">
        <v>569</v>
      </c>
      <c r="P483" t="s">
        <v>569</v>
      </c>
      <c r="Q483" t="s">
        <v>569</v>
      </c>
      <c r="R483">
        <v>48.482773603525096</v>
      </c>
      <c r="S483" t="s">
        <v>1213</v>
      </c>
      <c r="T483">
        <v>-123.53851126059401</v>
      </c>
      <c r="U483" t="s">
        <v>1206</v>
      </c>
      <c r="V483" t="s">
        <v>569</v>
      </c>
      <c r="W483" t="s">
        <v>569</v>
      </c>
      <c r="X483" t="s">
        <v>569</v>
      </c>
      <c r="Y483" t="s">
        <v>569</v>
      </c>
      <c r="Z483" t="s">
        <v>569</v>
      </c>
      <c r="AA483" t="s">
        <v>569</v>
      </c>
      <c r="AB483">
        <v>50</v>
      </c>
      <c r="AC48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4" spans="1:29" x14ac:dyDescent="0.25">
      <c r="A484" t="s">
        <v>568</v>
      </c>
      <c r="B484" t="s">
        <v>505</v>
      </c>
      <c r="C484" t="s">
        <v>504</v>
      </c>
      <c r="D484" t="s">
        <v>501</v>
      </c>
      <c r="E484" t="s">
        <v>502</v>
      </c>
      <c r="F484" t="s">
        <v>569</v>
      </c>
      <c r="G484" t="s">
        <v>569</v>
      </c>
      <c r="H484" t="s">
        <v>569</v>
      </c>
      <c r="I484" t="s">
        <v>569</v>
      </c>
      <c r="J484" t="s">
        <v>569</v>
      </c>
      <c r="K484">
        <v>0</v>
      </c>
      <c r="L484" t="s">
        <v>569</v>
      </c>
      <c r="M484" t="s">
        <v>569</v>
      </c>
      <c r="N484" t="s">
        <v>569</v>
      </c>
      <c r="O484" t="s">
        <v>569</v>
      </c>
      <c r="P484" t="s">
        <v>569</v>
      </c>
      <c r="Q484" t="s">
        <v>569</v>
      </c>
      <c r="R484">
        <v>48.401571070000003</v>
      </c>
      <c r="S484" t="s">
        <v>1213</v>
      </c>
      <c r="T484">
        <v>-123.56022830000001</v>
      </c>
      <c r="U484" t="s">
        <v>1206</v>
      </c>
      <c r="V484" t="s">
        <v>569</v>
      </c>
      <c r="W484" t="s">
        <v>569</v>
      </c>
      <c r="X484" t="s">
        <v>569</v>
      </c>
      <c r="Y484" t="s">
        <v>569</v>
      </c>
      <c r="Z484" t="s">
        <v>569</v>
      </c>
      <c r="AA484" t="s">
        <v>1229</v>
      </c>
      <c r="AB484">
        <v>50</v>
      </c>
      <c r="AC4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5" spans="1:29" x14ac:dyDescent="0.25">
      <c r="A485" t="s">
        <v>760</v>
      </c>
      <c r="B485" t="s">
        <v>572</v>
      </c>
      <c r="C485" t="s">
        <v>504</v>
      </c>
      <c r="D485" t="s">
        <v>501</v>
      </c>
      <c r="E485" t="s">
        <v>502</v>
      </c>
      <c r="F485" t="s">
        <v>569</v>
      </c>
      <c r="G485" t="s">
        <v>569</v>
      </c>
      <c r="H485" t="s">
        <v>569</v>
      </c>
      <c r="I485" t="s">
        <v>569</v>
      </c>
      <c r="J485" t="s">
        <v>569</v>
      </c>
      <c r="K485">
        <v>0</v>
      </c>
      <c r="L485" t="s">
        <v>569</v>
      </c>
      <c r="M485" t="s">
        <v>569</v>
      </c>
      <c r="N485" t="s">
        <v>569</v>
      </c>
      <c r="O485" t="s">
        <v>569</v>
      </c>
      <c r="P485" t="s">
        <v>569</v>
      </c>
      <c r="Q485" t="s">
        <v>569</v>
      </c>
      <c r="R485">
        <v>48.80528065</v>
      </c>
      <c r="S485" t="s">
        <v>1213</v>
      </c>
      <c r="T485">
        <v>-123.5155106</v>
      </c>
      <c r="U485" t="s">
        <v>1206</v>
      </c>
      <c r="V485" t="s">
        <v>569</v>
      </c>
      <c r="W485" t="s">
        <v>569</v>
      </c>
      <c r="X485" t="s">
        <v>569</v>
      </c>
      <c r="Y485" t="s">
        <v>569</v>
      </c>
      <c r="Z485" t="s">
        <v>569</v>
      </c>
      <c r="AA485" t="s">
        <v>1229</v>
      </c>
      <c r="AB485">
        <v>50</v>
      </c>
      <c r="AC4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6" spans="1:29" x14ac:dyDescent="0.25">
      <c r="A486" t="s">
        <v>1410</v>
      </c>
      <c r="B486" t="s">
        <v>505</v>
      </c>
      <c r="C486" t="s">
        <v>504</v>
      </c>
      <c r="D486" t="s">
        <v>501</v>
      </c>
      <c r="E486" t="s">
        <v>502</v>
      </c>
      <c r="F486" t="s">
        <v>569</v>
      </c>
      <c r="G486" t="s">
        <v>569</v>
      </c>
      <c r="H486" t="s">
        <v>569</v>
      </c>
      <c r="I486" t="s">
        <v>569</v>
      </c>
      <c r="J486" t="s">
        <v>569</v>
      </c>
      <c r="K486" t="s">
        <v>569</v>
      </c>
      <c r="L486" t="s">
        <v>569</v>
      </c>
      <c r="M486" t="s">
        <v>569</v>
      </c>
      <c r="N486" t="s">
        <v>569</v>
      </c>
      <c r="O486" t="s">
        <v>569</v>
      </c>
      <c r="P486" t="s">
        <v>569</v>
      </c>
      <c r="Q486" t="s">
        <v>569</v>
      </c>
      <c r="R486" t="s">
        <v>569</v>
      </c>
      <c r="S486" t="s">
        <v>569</v>
      </c>
      <c r="T486" t="s">
        <v>569</v>
      </c>
      <c r="U486" t="s">
        <v>569</v>
      </c>
      <c r="V486" t="s">
        <v>569</v>
      </c>
      <c r="W486" t="s">
        <v>569</v>
      </c>
      <c r="X486" t="s">
        <v>569</v>
      </c>
      <c r="Y486" t="s">
        <v>569</v>
      </c>
      <c r="Z486" t="s">
        <v>569</v>
      </c>
      <c r="AA486" t="s">
        <v>569</v>
      </c>
      <c r="AB486">
        <v>50</v>
      </c>
      <c r="AC48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7" spans="1:29" x14ac:dyDescent="0.25">
      <c r="A487" t="s">
        <v>898</v>
      </c>
      <c r="B487" t="s">
        <v>896</v>
      </c>
      <c r="C487" t="s">
        <v>504</v>
      </c>
      <c r="D487" t="s">
        <v>501</v>
      </c>
      <c r="E487" t="s">
        <v>502</v>
      </c>
      <c r="F487" t="s">
        <v>569</v>
      </c>
      <c r="G487" t="s">
        <v>569</v>
      </c>
      <c r="H487" t="s">
        <v>569</v>
      </c>
      <c r="I487" t="s">
        <v>569</v>
      </c>
      <c r="J487">
        <v>159.3868895</v>
      </c>
      <c r="K487">
        <v>0</v>
      </c>
      <c r="L487" t="s">
        <v>569</v>
      </c>
      <c r="M487" t="s">
        <v>569</v>
      </c>
      <c r="N487" t="s">
        <v>569</v>
      </c>
      <c r="O487" t="s">
        <v>569</v>
      </c>
      <c r="P487">
        <v>329.4152411</v>
      </c>
      <c r="Q487" t="s">
        <v>1205</v>
      </c>
      <c r="R487">
        <v>48.837320099999999</v>
      </c>
      <c r="S487" t="s">
        <v>1213</v>
      </c>
      <c r="T487">
        <v>-123.2815427</v>
      </c>
      <c r="U487" t="s">
        <v>1206</v>
      </c>
      <c r="V487" t="s">
        <v>1231</v>
      </c>
      <c r="W487" t="s">
        <v>569</v>
      </c>
      <c r="X487" t="s">
        <v>569</v>
      </c>
      <c r="Y487" t="s">
        <v>569</v>
      </c>
      <c r="Z487" t="s">
        <v>569</v>
      </c>
      <c r="AA487" t="s">
        <v>1229</v>
      </c>
      <c r="AB487">
        <v>50</v>
      </c>
      <c r="AC4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8" spans="1:29" x14ac:dyDescent="0.25">
      <c r="A488" t="s">
        <v>544</v>
      </c>
      <c r="B488" t="s">
        <v>505</v>
      </c>
      <c r="C488" t="s">
        <v>504</v>
      </c>
      <c r="D488" t="s">
        <v>501</v>
      </c>
      <c r="E488" t="s">
        <v>502</v>
      </c>
      <c r="F488" t="s">
        <v>569</v>
      </c>
      <c r="G488" t="s">
        <v>569</v>
      </c>
      <c r="H488" t="s">
        <v>569</v>
      </c>
      <c r="I488" t="s">
        <v>569</v>
      </c>
      <c r="J488" t="s">
        <v>569</v>
      </c>
      <c r="K488">
        <v>0</v>
      </c>
      <c r="L488" t="s">
        <v>569</v>
      </c>
      <c r="M488" t="s">
        <v>569</v>
      </c>
      <c r="N488" t="s">
        <v>569</v>
      </c>
      <c r="O488" t="s">
        <v>569</v>
      </c>
      <c r="P488" t="s">
        <v>569</v>
      </c>
      <c r="Q488" t="s">
        <v>569</v>
      </c>
      <c r="R488">
        <v>48.458238039999998</v>
      </c>
      <c r="S488" t="s">
        <v>1213</v>
      </c>
      <c r="T488">
        <v>-123.32406520000001</v>
      </c>
      <c r="U488" t="s">
        <v>1206</v>
      </c>
      <c r="V488" t="s">
        <v>569</v>
      </c>
      <c r="W488" t="s">
        <v>569</v>
      </c>
      <c r="X488" t="s">
        <v>569</v>
      </c>
      <c r="Y488" t="s">
        <v>569</v>
      </c>
      <c r="Z488" t="s">
        <v>569</v>
      </c>
      <c r="AA488" t="s">
        <v>1229</v>
      </c>
      <c r="AB488">
        <v>50</v>
      </c>
      <c r="AC4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89" spans="1:29" x14ac:dyDescent="0.25">
      <c r="A489" t="s">
        <v>1354</v>
      </c>
      <c r="B489" t="s">
        <v>5</v>
      </c>
      <c r="C489" t="s">
        <v>504</v>
      </c>
      <c r="D489" t="s">
        <v>501</v>
      </c>
      <c r="E489" t="s">
        <v>502</v>
      </c>
      <c r="F489" t="s">
        <v>569</v>
      </c>
      <c r="G489" t="s">
        <v>569</v>
      </c>
      <c r="H489" t="s">
        <v>569</v>
      </c>
      <c r="I489" t="s">
        <v>569</v>
      </c>
      <c r="J489" t="s">
        <v>569</v>
      </c>
      <c r="K489" t="s">
        <v>569</v>
      </c>
      <c r="L489" t="s">
        <v>569</v>
      </c>
      <c r="M489" t="s">
        <v>569</v>
      </c>
      <c r="N489" t="s">
        <v>569</v>
      </c>
      <c r="O489" t="s">
        <v>569</v>
      </c>
      <c r="P489" t="s">
        <v>569</v>
      </c>
      <c r="Q489" t="s">
        <v>569</v>
      </c>
      <c r="R489" t="s">
        <v>569</v>
      </c>
      <c r="S489" t="s">
        <v>569</v>
      </c>
      <c r="T489" t="s">
        <v>569</v>
      </c>
      <c r="U489" t="s">
        <v>569</v>
      </c>
      <c r="V489" t="s">
        <v>569</v>
      </c>
      <c r="W489" t="s">
        <v>569</v>
      </c>
      <c r="X489" t="s">
        <v>569</v>
      </c>
      <c r="Y489" t="s">
        <v>569</v>
      </c>
      <c r="Z489" t="s">
        <v>569</v>
      </c>
      <c r="AA489" t="s">
        <v>569</v>
      </c>
      <c r="AB489">
        <v>50</v>
      </c>
      <c r="AC48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0" spans="1:29" x14ac:dyDescent="0.25">
      <c r="A490" t="s">
        <v>1414</v>
      </c>
      <c r="B490" t="s">
        <v>505</v>
      </c>
      <c r="C490" t="s">
        <v>504</v>
      </c>
      <c r="D490" t="s">
        <v>501</v>
      </c>
      <c r="E490" t="s">
        <v>502</v>
      </c>
      <c r="F490" t="s">
        <v>569</v>
      </c>
      <c r="G490" t="s">
        <v>569</v>
      </c>
      <c r="H490" t="s">
        <v>569</v>
      </c>
      <c r="I490" t="s">
        <v>569</v>
      </c>
      <c r="J490" t="s">
        <v>569</v>
      </c>
      <c r="K490" t="s">
        <v>569</v>
      </c>
      <c r="L490" t="s">
        <v>569</v>
      </c>
      <c r="M490" t="s">
        <v>569</v>
      </c>
      <c r="N490" t="s">
        <v>569</v>
      </c>
      <c r="O490" t="s">
        <v>569</v>
      </c>
      <c r="P490" t="s">
        <v>569</v>
      </c>
      <c r="Q490" t="s">
        <v>569</v>
      </c>
      <c r="R490" t="s">
        <v>569</v>
      </c>
      <c r="S490" t="s">
        <v>569</v>
      </c>
      <c r="T490" t="s">
        <v>569</v>
      </c>
      <c r="U490" t="s">
        <v>569</v>
      </c>
      <c r="V490" t="s">
        <v>569</v>
      </c>
      <c r="W490" t="s">
        <v>569</v>
      </c>
      <c r="X490" t="s">
        <v>569</v>
      </c>
      <c r="Y490" t="s">
        <v>569</v>
      </c>
      <c r="Z490" t="s">
        <v>569</v>
      </c>
      <c r="AA490" t="s">
        <v>569</v>
      </c>
      <c r="AB490">
        <v>50</v>
      </c>
      <c r="AC49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1" spans="1:29" x14ac:dyDescent="0.25">
      <c r="A491" t="s">
        <v>626</v>
      </c>
      <c r="B491" t="s">
        <v>505</v>
      </c>
      <c r="C491" t="s">
        <v>504</v>
      </c>
      <c r="D491" t="s">
        <v>501</v>
      </c>
      <c r="E491" t="s">
        <v>502</v>
      </c>
      <c r="F491" t="s">
        <v>569</v>
      </c>
      <c r="G491" t="s">
        <v>569</v>
      </c>
      <c r="H491" t="s">
        <v>569</v>
      </c>
      <c r="I491" t="s">
        <v>569</v>
      </c>
      <c r="J491" t="s">
        <v>569</v>
      </c>
      <c r="K491">
        <v>0</v>
      </c>
      <c r="L491" t="s">
        <v>569</v>
      </c>
      <c r="M491" t="s">
        <v>569</v>
      </c>
      <c r="N491" t="s">
        <v>569</v>
      </c>
      <c r="O491" t="s">
        <v>569</v>
      </c>
      <c r="P491" t="s">
        <v>569</v>
      </c>
      <c r="Q491" t="s">
        <v>569</v>
      </c>
      <c r="R491">
        <v>48.541159540000002</v>
      </c>
      <c r="S491" t="s">
        <v>1213</v>
      </c>
      <c r="T491">
        <v>-123.4854698</v>
      </c>
      <c r="U491" t="s">
        <v>1206</v>
      </c>
      <c r="V491" t="s">
        <v>569</v>
      </c>
      <c r="W491" t="s">
        <v>569</v>
      </c>
      <c r="X491" t="s">
        <v>569</v>
      </c>
      <c r="Y491" t="s">
        <v>569</v>
      </c>
      <c r="Z491" t="s">
        <v>569</v>
      </c>
      <c r="AA491" t="s">
        <v>1229</v>
      </c>
      <c r="AB491">
        <v>50</v>
      </c>
      <c r="AC4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2" spans="1:29" x14ac:dyDescent="0.25">
      <c r="A492" t="s">
        <v>560</v>
      </c>
      <c r="B492" t="s">
        <v>557</v>
      </c>
      <c r="C492" t="s">
        <v>504</v>
      </c>
      <c r="D492" t="s">
        <v>501</v>
      </c>
      <c r="E492" t="s">
        <v>502</v>
      </c>
      <c r="F492" t="s">
        <v>569</v>
      </c>
      <c r="G492" t="s">
        <v>569</v>
      </c>
      <c r="H492" t="s">
        <v>569</v>
      </c>
      <c r="I492" t="s">
        <v>569</v>
      </c>
      <c r="J492" t="s">
        <v>569</v>
      </c>
      <c r="K492">
        <v>0</v>
      </c>
      <c r="L492" t="s">
        <v>569</v>
      </c>
      <c r="M492" t="s">
        <v>569</v>
      </c>
      <c r="N492" t="s">
        <v>569</v>
      </c>
      <c r="O492" t="s">
        <v>569</v>
      </c>
      <c r="P492" t="s">
        <v>569</v>
      </c>
      <c r="Q492" t="s">
        <v>569</v>
      </c>
      <c r="R492">
        <v>49.87901196</v>
      </c>
      <c r="S492" t="s">
        <v>1213</v>
      </c>
      <c r="T492">
        <v>-124.5273069</v>
      </c>
      <c r="U492" t="s">
        <v>1206</v>
      </c>
      <c r="V492" t="s">
        <v>569</v>
      </c>
      <c r="W492" t="s">
        <v>569</v>
      </c>
      <c r="X492" t="s">
        <v>569</v>
      </c>
      <c r="Y492" t="s">
        <v>569</v>
      </c>
      <c r="Z492" t="s">
        <v>569</v>
      </c>
      <c r="AA492" t="s">
        <v>1229</v>
      </c>
      <c r="AB492">
        <v>50</v>
      </c>
      <c r="AC49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3" spans="1:29" x14ac:dyDescent="0.25">
      <c r="A493" t="s">
        <v>998</v>
      </c>
      <c r="B493" t="s">
        <v>943</v>
      </c>
      <c r="C493" t="s">
        <v>707</v>
      </c>
      <c r="D493" t="s">
        <v>522</v>
      </c>
      <c r="E493" t="s">
        <v>523</v>
      </c>
      <c r="F493" t="s">
        <v>569</v>
      </c>
      <c r="G493" t="s">
        <v>569</v>
      </c>
      <c r="H493" t="s">
        <v>569</v>
      </c>
      <c r="I493" t="s">
        <v>569</v>
      </c>
      <c r="J493" t="s">
        <v>569</v>
      </c>
      <c r="K493" t="s">
        <v>569</v>
      </c>
      <c r="L493" t="s">
        <v>569</v>
      </c>
      <c r="M493" t="s">
        <v>569</v>
      </c>
      <c r="N493" t="s">
        <v>569</v>
      </c>
      <c r="O493" t="s">
        <v>569</v>
      </c>
      <c r="P493" t="s">
        <v>569</v>
      </c>
      <c r="Q493" t="s">
        <v>569</v>
      </c>
      <c r="R493" s="4">
        <v>-16.9153217122204</v>
      </c>
      <c r="S493" t="s">
        <v>1111</v>
      </c>
      <c r="T493" s="4">
        <v>145.77250003661001</v>
      </c>
      <c r="U493" t="s">
        <v>1201</v>
      </c>
      <c r="V493" t="s">
        <v>569</v>
      </c>
      <c r="W493" t="s">
        <v>569</v>
      </c>
      <c r="X493" t="s">
        <v>569</v>
      </c>
      <c r="Y493" t="s">
        <v>569</v>
      </c>
      <c r="Z493" t="s">
        <v>569</v>
      </c>
      <c r="AA493" t="s">
        <v>569</v>
      </c>
      <c r="AB493">
        <v>50</v>
      </c>
      <c r="AC4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4" spans="1:29" x14ac:dyDescent="0.25">
      <c r="A494" t="s">
        <v>980</v>
      </c>
      <c r="B494" t="s">
        <v>978</v>
      </c>
      <c r="C494" t="s">
        <v>505</v>
      </c>
      <c r="D494" t="s">
        <v>522</v>
      </c>
      <c r="E494" t="s">
        <v>523</v>
      </c>
      <c r="F494" t="s">
        <v>569</v>
      </c>
      <c r="G494" t="s">
        <v>569</v>
      </c>
      <c r="H494" t="s">
        <v>569</v>
      </c>
      <c r="I494" t="s">
        <v>569</v>
      </c>
      <c r="J494" t="s">
        <v>569</v>
      </c>
      <c r="K494">
        <v>0</v>
      </c>
      <c r="L494" t="s">
        <v>569</v>
      </c>
      <c r="M494" t="s">
        <v>569</v>
      </c>
      <c r="N494" t="s">
        <v>569</v>
      </c>
      <c r="O494" t="s">
        <v>569</v>
      </c>
      <c r="P494" t="s">
        <v>569</v>
      </c>
      <c r="Q494" t="s">
        <v>569</v>
      </c>
      <c r="R494">
        <v>-38.351050129999997</v>
      </c>
      <c r="S494" t="s">
        <v>1111</v>
      </c>
      <c r="T494">
        <v>144.9486698</v>
      </c>
      <c r="U494" t="s">
        <v>1201</v>
      </c>
      <c r="V494" t="s">
        <v>569</v>
      </c>
      <c r="W494" t="s">
        <v>569</v>
      </c>
      <c r="X494" t="s">
        <v>569</v>
      </c>
      <c r="Y494" t="s">
        <v>569</v>
      </c>
      <c r="Z494" t="s">
        <v>569</v>
      </c>
      <c r="AA494" t="s">
        <v>1230</v>
      </c>
      <c r="AB494">
        <v>50</v>
      </c>
      <c r="AC4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5" spans="1:29" x14ac:dyDescent="0.25">
      <c r="A495" t="s">
        <v>1383</v>
      </c>
      <c r="B495" t="s">
        <v>726</v>
      </c>
      <c r="C495" t="s">
        <v>504</v>
      </c>
      <c r="D495" t="s">
        <v>501</v>
      </c>
      <c r="E495" t="s">
        <v>502</v>
      </c>
      <c r="F495" t="s">
        <v>569</v>
      </c>
      <c r="G495" t="s">
        <v>569</v>
      </c>
      <c r="H495" t="s">
        <v>569</v>
      </c>
      <c r="I495" t="s">
        <v>569</v>
      </c>
      <c r="J495" t="s">
        <v>569</v>
      </c>
      <c r="K495" t="s">
        <v>569</v>
      </c>
      <c r="L495" t="s">
        <v>569</v>
      </c>
      <c r="M495" t="s">
        <v>569</v>
      </c>
      <c r="N495" t="s">
        <v>569</v>
      </c>
      <c r="O495" t="s">
        <v>569</v>
      </c>
      <c r="P495" t="s">
        <v>569</v>
      </c>
      <c r="Q495" t="s">
        <v>569</v>
      </c>
      <c r="R495" t="s">
        <v>569</v>
      </c>
      <c r="S495" t="s">
        <v>569</v>
      </c>
      <c r="T495" t="s">
        <v>569</v>
      </c>
      <c r="U495" t="s">
        <v>569</v>
      </c>
      <c r="V495" t="s">
        <v>569</v>
      </c>
      <c r="W495" t="s">
        <v>569</v>
      </c>
      <c r="X495" t="s">
        <v>569</v>
      </c>
      <c r="Y495" t="s">
        <v>569</v>
      </c>
      <c r="Z495" t="s">
        <v>569</v>
      </c>
      <c r="AA495" t="s">
        <v>569</v>
      </c>
      <c r="AB495">
        <v>50</v>
      </c>
      <c r="AC49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6" spans="1:29" x14ac:dyDescent="0.25">
      <c r="A496" t="s">
        <v>1396</v>
      </c>
      <c r="B496" t="s">
        <v>513</v>
      </c>
      <c r="C496" t="s">
        <v>504</v>
      </c>
      <c r="D496" t="s">
        <v>501</v>
      </c>
      <c r="E496" t="s">
        <v>502</v>
      </c>
      <c r="F496" t="s">
        <v>569</v>
      </c>
      <c r="G496" t="s">
        <v>569</v>
      </c>
      <c r="H496" t="s">
        <v>569</v>
      </c>
      <c r="I496" t="s">
        <v>569</v>
      </c>
      <c r="J496" t="s">
        <v>569</v>
      </c>
      <c r="K496" t="s">
        <v>569</v>
      </c>
      <c r="L496" t="s">
        <v>569</v>
      </c>
      <c r="M496" t="s">
        <v>569</v>
      </c>
      <c r="N496" t="s">
        <v>569</v>
      </c>
      <c r="O496" t="s">
        <v>569</v>
      </c>
      <c r="P496" t="s">
        <v>569</v>
      </c>
      <c r="Q496" t="s">
        <v>569</v>
      </c>
      <c r="R496" t="s">
        <v>569</v>
      </c>
      <c r="S496" t="s">
        <v>569</v>
      </c>
      <c r="T496" t="s">
        <v>569</v>
      </c>
      <c r="U496" t="s">
        <v>569</v>
      </c>
      <c r="V496" t="s">
        <v>569</v>
      </c>
      <c r="W496" t="s">
        <v>569</v>
      </c>
      <c r="X496" t="s">
        <v>569</v>
      </c>
      <c r="Y496" t="s">
        <v>569</v>
      </c>
      <c r="Z496" t="s">
        <v>569</v>
      </c>
      <c r="AA496" t="s">
        <v>569</v>
      </c>
      <c r="AB496">
        <v>50</v>
      </c>
      <c r="AC49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7" spans="1:29" x14ac:dyDescent="0.25">
      <c r="A497" t="s">
        <v>1407</v>
      </c>
      <c r="B497" t="s">
        <v>505</v>
      </c>
      <c r="C497" t="s">
        <v>504</v>
      </c>
      <c r="D497" t="s">
        <v>501</v>
      </c>
      <c r="E497" t="s">
        <v>502</v>
      </c>
      <c r="F497" t="s">
        <v>569</v>
      </c>
      <c r="G497" t="s">
        <v>569</v>
      </c>
      <c r="H497" t="s">
        <v>569</v>
      </c>
      <c r="I497" t="s">
        <v>569</v>
      </c>
      <c r="J497" t="s">
        <v>569</v>
      </c>
      <c r="K497" t="s">
        <v>569</v>
      </c>
      <c r="L497" t="s">
        <v>569</v>
      </c>
      <c r="M497" t="s">
        <v>569</v>
      </c>
      <c r="N497" t="s">
        <v>569</v>
      </c>
      <c r="O497" t="s">
        <v>569</v>
      </c>
      <c r="P497" t="s">
        <v>569</v>
      </c>
      <c r="Q497" t="s">
        <v>569</v>
      </c>
      <c r="R497" t="s">
        <v>569</v>
      </c>
      <c r="S497" t="s">
        <v>569</v>
      </c>
      <c r="T497" t="s">
        <v>569</v>
      </c>
      <c r="U497" t="s">
        <v>569</v>
      </c>
      <c r="V497" t="s">
        <v>569</v>
      </c>
      <c r="W497" t="s">
        <v>569</v>
      </c>
      <c r="X497" t="s">
        <v>569</v>
      </c>
      <c r="Y497" t="s">
        <v>569</v>
      </c>
      <c r="Z497" t="s">
        <v>569</v>
      </c>
      <c r="AA497" t="s">
        <v>569</v>
      </c>
      <c r="AB497">
        <v>50</v>
      </c>
      <c r="AC49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8" spans="1:29" x14ac:dyDescent="0.25">
      <c r="A498" t="s">
        <v>1503</v>
      </c>
      <c r="B498" t="s">
        <v>557</v>
      </c>
      <c r="C498" t="s">
        <v>504</v>
      </c>
      <c r="D498" t="s">
        <v>501</v>
      </c>
      <c r="E498" t="s">
        <v>502</v>
      </c>
      <c r="F498" t="s">
        <v>569</v>
      </c>
      <c r="G498" t="s">
        <v>569</v>
      </c>
      <c r="H498" t="s">
        <v>569</v>
      </c>
      <c r="I498" t="s">
        <v>569</v>
      </c>
      <c r="J498" t="s">
        <v>569</v>
      </c>
      <c r="K498" t="s">
        <v>569</v>
      </c>
      <c r="L498" t="s">
        <v>569</v>
      </c>
      <c r="M498" t="s">
        <v>569</v>
      </c>
      <c r="N498" t="s">
        <v>569</v>
      </c>
      <c r="O498" t="s">
        <v>569</v>
      </c>
      <c r="P498" t="s">
        <v>569</v>
      </c>
      <c r="Q498" t="s">
        <v>569</v>
      </c>
      <c r="R498" t="s">
        <v>569</v>
      </c>
      <c r="S498" t="s">
        <v>569</v>
      </c>
      <c r="T498" t="s">
        <v>569</v>
      </c>
      <c r="U498" t="s">
        <v>569</v>
      </c>
      <c r="V498" t="s">
        <v>569</v>
      </c>
      <c r="W498" t="s">
        <v>569</v>
      </c>
      <c r="X498" t="s">
        <v>569</v>
      </c>
      <c r="Y498" t="s">
        <v>569</v>
      </c>
      <c r="Z498" t="s">
        <v>569</v>
      </c>
      <c r="AA498" t="s">
        <v>569</v>
      </c>
      <c r="AB498">
        <v>50</v>
      </c>
      <c r="AC49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499" spans="1:29" x14ac:dyDescent="0.25">
      <c r="A499" t="s">
        <v>723</v>
      </c>
      <c r="B499" t="s">
        <v>722</v>
      </c>
      <c r="C499" t="s">
        <v>683</v>
      </c>
      <c r="D499" t="s">
        <v>680</v>
      </c>
      <c r="E499" t="s">
        <v>681</v>
      </c>
      <c r="F499" t="s">
        <v>569</v>
      </c>
      <c r="G499" t="s">
        <v>569</v>
      </c>
      <c r="H499" t="s">
        <v>569</v>
      </c>
      <c r="I499" t="s">
        <v>569</v>
      </c>
      <c r="J499" t="s">
        <v>569</v>
      </c>
      <c r="K499">
        <v>0</v>
      </c>
      <c r="L499" t="s">
        <v>569</v>
      </c>
      <c r="M499" t="s">
        <v>569</v>
      </c>
      <c r="N499" t="s">
        <v>569</v>
      </c>
      <c r="O499" t="s">
        <v>569</v>
      </c>
      <c r="P499" t="s">
        <v>569</v>
      </c>
      <c r="Q499" t="s">
        <v>569</v>
      </c>
      <c r="R499">
        <v>-17.75424525</v>
      </c>
      <c r="S499" t="s">
        <v>1111</v>
      </c>
      <c r="T499">
        <v>177.44318960000001</v>
      </c>
      <c r="U499" t="s">
        <v>1201</v>
      </c>
      <c r="V499" t="s">
        <v>569</v>
      </c>
      <c r="W499" t="s">
        <v>569</v>
      </c>
      <c r="X499" t="s">
        <v>569</v>
      </c>
      <c r="Y499" t="s">
        <v>569</v>
      </c>
      <c r="Z499" s="9">
        <v>0</v>
      </c>
      <c r="AA499" t="s">
        <v>1229</v>
      </c>
      <c r="AB499">
        <v>50</v>
      </c>
      <c r="AC4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0" spans="1:29" x14ac:dyDescent="0.25">
      <c r="A500" t="s">
        <v>769</v>
      </c>
      <c r="B500" t="s">
        <v>764</v>
      </c>
      <c r="C500" t="s">
        <v>764</v>
      </c>
      <c r="D500" t="s">
        <v>756</v>
      </c>
      <c r="E500" t="s">
        <v>757</v>
      </c>
      <c r="F500" t="s">
        <v>569</v>
      </c>
      <c r="G500" t="s">
        <v>569</v>
      </c>
      <c r="H500" t="s">
        <v>569</v>
      </c>
      <c r="I500" t="s">
        <v>569</v>
      </c>
      <c r="J500" t="s">
        <v>569</v>
      </c>
      <c r="K500">
        <v>0</v>
      </c>
      <c r="L500" t="s">
        <v>569</v>
      </c>
      <c r="M500" t="s">
        <v>569</v>
      </c>
      <c r="N500" t="s">
        <v>569</v>
      </c>
      <c r="O500" t="s">
        <v>569</v>
      </c>
      <c r="P500" t="s">
        <v>569</v>
      </c>
      <c r="Q500" t="s">
        <v>569</v>
      </c>
      <c r="R500">
        <v>11.565744349999999</v>
      </c>
      <c r="S500" t="s">
        <v>1213</v>
      </c>
      <c r="T500">
        <v>104.92917540000001</v>
      </c>
      <c r="U500" t="s">
        <v>1201</v>
      </c>
      <c r="V500" t="s">
        <v>569</v>
      </c>
      <c r="W500" t="s">
        <v>569</v>
      </c>
      <c r="X500" t="s">
        <v>569</v>
      </c>
      <c r="Y500" t="s">
        <v>569</v>
      </c>
      <c r="Z500" t="s">
        <v>569</v>
      </c>
      <c r="AA500" t="s">
        <v>1229</v>
      </c>
      <c r="AB500">
        <v>50</v>
      </c>
      <c r="AC50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1" spans="1:29" x14ac:dyDescent="0.25">
      <c r="A501" t="s">
        <v>508</v>
      </c>
      <c r="B501" t="s">
        <v>505</v>
      </c>
      <c r="C501" t="s">
        <v>504</v>
      </c>
      <c r="D501" t="s">
        <v>501</v>
      </c>
      <c r="E501" t="s">
        <v>502</v>
      </c>
      <c r="F501" t="s">
        <v>569</v>
      </c>
      <c r="G501" t="s">
        <v>569</v>
      </c>
      <c r="H501" t="s">
        <v>569</v>
      </c>
      <c r="I501" t="s">
        <v>569</v>
      </c>
      <c r="J501" t="s">
        <v>569</v>
      </c>
      <c r="K501">
        <v>0</v>
      </c>
      <c r="L501" t="s">
        <v>569</v>
      </c>
      <c r="M501" t="s">
        <v>569</v>
      </c>
      <c r="N501" t="s">
        <v>569</v>
      </c>
      <c r="O501" t="s">
        <v>569</v>
      </c>
      <c r="P501" t="s">
        <v>569</v>
      </c>
      <c r="Q501" t="s">
        <v>569</v>
      </c>
      <c r="R501">
        <v>48.40245075</v>
      </c>
      <c r="S501" t="s">
        <v>1213</v>
      </c>
      <c r="T501">
        <v>-123.572368</v>
      </c>
      <c r="U501" t="s">
        <v>1206</v>
      </c>
      <c r="V501" t="s">
        <v>569</v>
      </c>
      <c r="W501" t="s">
        <v>569</v>
      </c>
      <c r="X501" t="s">
        <v>569</v>
      </c>
      <c r="Y501" t="s">
        <v>569</v>
      </c>
      <c r="Z501" t="s">
        <v>569</v>
      </c>
      <c r="AA501" t="s">
        <v>1229</v>
      </c>
      <c r="AB501">
        <v>50</v>
      </c>
      <c r="AC50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2" spans="1:29" x14ac:dyDescent="0.25">
      <c r="A502" t="s">
        <v>952</v>
      </c>
      <c r="B502" t="s">
        <v>951</v>
      </c>
      <c r="C502" t="s">
        <v>707</v>
      </c>
      <c r="D502" t="s">
        <v>522</v>
      </c>
      <c r="E502" t="s">
        <v>523</v>
      </c>
      <c r="F502" t="s">
        <v>569</v>
      </c>
      <c r="G502" t="s">
        <v>569</v>
      </c>
      <c r="H502" t="s">
        <v>569</v>
      </c>
      <c r="I502" t="s">
        <v>569</v>
      </c>
      <c r="J502" t="s">
        <v>569</v>
      </c>
      <c r="K502">
        <v>0</v>
      </c>
      <c r="L502" t="s">
        <v>569</v>
      </c>
      <c r="M502" t="s">
        <v>569</v>
      </c>
      <c r="N502" t="s">
        <v>569</v>
      </c>
      <c r="O502" t="s">
        <v>569</v>
      </c>
      <c r="P502" t="s">
        <v>569</v>
      </c>
      <c r="Q502" t="s">
        <v>569</v>
      </c>
      <c r="R502">
        <v>-16.523878069999999</v>
      </c>
      <c r="S502" t="s">
        <v>1111</v>
      </c>
      <c r="T502">
        <v>145.4706553</v>
      </c>
      <c r="U502" t="s">
        <v>1201</v>
      </c>
      <c r="V502" t="s">
        <v>569</v>
      </c>
      <c r="W502" t="s">
        <v>569</v>
      </c>
      <c r="X502" t="s">
        <v>569</v>
      </c>
      <c r="Y502" t="s">
        <v>569</v>
      </c>
      <c r="Z502" t="s">
        <v>569</v>
      </c>
      <c r="AA502" t="s">
        <v>1229</v>
      </c>
      <c r="AB502">
        <v>50</v>
      </c>
      <c r="AC5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3" spans="1:29" x14ac:dyDescent="0.25">
      <c r="A503" t="s">
        <v>641</v>
      </c>
      <c r="B503" t="s">
        <v>640</v>
      </c>
      <c r="C503" t="s">
        <v>504</v>
      </c>
      <c r="D503" t="s">
        <v>501</v>
      </c>
      <c r="E503" t="s">
        <v>502</v>
      </c>
      <c r="F503" t="s">
        <v>569</v>
      </c>
      <c r="G503" t="s">
        <v>569</v>
      </c>
      <c r="H503" t="s">
        <v>569</v>
      </c>
      <c r="I503" t="s">
        <v>569</v>
      </c>
      <c r="J503" t="s">
        <v>569</v>
      </c>
      <c r="K503">
        <v>0</v>
      </c>
      <c r="L503" t="s">
        <v>569</v>
      </c>
      <c r="M503" t="s">
        <v>569</v>
      </c>
      <c r="N503" t="s">
        <v>569</v>
      </c>
      <c r="O503" t="s">
        <v>569</v>
      </c>
      <c r="P503" t="s">
        <v>569</v>
      </c>
      <c r="Q503" t="s">
        <v>569</v>
      </c>
      <c r="R503">
        <v>49.305489600000001</v>
      </c>
      <c r="S503" t="s">
        <v>1213</v>
      </c>
      <c r="T503">
        <v>-124.26038149999999</v>
      </c>
      <c r="U503" t="s">
        <v>1206</v>
      </c>
      <c r="V503" t="s">
        <v>569</v>
      </c>
      <c r="W503" t="s">
        <v>569</v>
      </c>
      <c r="X503" t="s">
        <v>569</v>
      </c>
      <c r="Y503" t="s">
        <v>569</v>
      </c>
      <c r="Z503" t="s">
        <v>569</v>
      </c>
      <c r="AA503" t="s">
        <v>1229</v>
      </c>
      <c r="AB503">
        <v>50</v>
      </c>
      <c r="AC5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4" spans="1:29" x14ac:dyDescent="0.25">
      <c r="A504" t="s">
        <v>801</v>
      </c>
      <c r="B504" t="s">
        <v>794</v>
      </c>
      <c r="C504" t="s">
        <v>794</v>
      </c>
      <c r="D504" t="s">
        <v>795</v>
      </c>
      <c r="E504" t="s">
        <v>796</v>
      </c>
      <c r="F504" t="s">
        <v>569</v>
      </c>
      <c r="G504" t="s">
        <v>569</v>
      </c>
      <c r="H504" t="s">
        <v>569</v>
      </c>
      <c r="I504" t="s">
        <v>569</v>
      </c>
      <c r="J504" t="s">
        <v>569</v>
      </c>
      <c r="K504">
        <v>0</v>
      </c>
      <c r="L504" t="s">
        <v>569</v>
      </c>
      <c r="M504" t="s">
        <v>569</v>
      </c>
      <c r="N504" t="s">
        <v>569</v>
      </c>
      <c r="O504" t="s">
        <v>569</v>
      </c>
      <c r="P504" t="s">
        <v>569</v>
      </c>
      <c r="Q504" t="s">
        <v>569</v>
      </c>
      <c r="R504">
        <v>10.780028270000001</v>
      </c>
      <c r="S504" t="s">
        <v>1213</v>
      </c>
      <c r="T504">
        <v>106.69907929999999</v>
      </c>
      <c r="U504" t="s">
        <v>1201</v>
      </c>
      <c r="V504" t="s">
        <v>569</v>
      </c>
      <c r="W504" t="s">
        <v>569</v>
      </c>
      <c r="X504" t="s">
        <v>569</v>
      </c>
      <c r="Y504" t="s">
        <v>569</v>
      </c>
      <c r="Z504" t="s">
        <v>569</v>
      </c>
      <c r="AA504" t="s">
        <v>1229</v>
      </c>
      <c r="AB504">
        <v>50</v>
      </c>
      <c r="AC50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5" spans="1:29" x14ac:dyDescent="0.25">
      <c r="A505" t="s">
        <v>960</v>
      </c>
      <c r="B505" t="s">
        <v>505</v>
      </c>
      <c r="C505" t="s">
        <v>504</v>
      </c>
      <c r="D505" t="s">
        <v>501</v>
      </c>
      <c r="E505" t="s">
        <v>502</v>
      </c>
      <c r="F505" t="s">
        <v>569</v>
      </c>
      <c r="G505" t="s">
        <v>569</v>
      </c>
      <c r="H505" t="s">
        <v>569</v>
      </c>
      <c r="I505" t="s">
        <v>569</v>
      </c>
      <c r="J505">
        <v>21.850000380000001</v>
      </c>
      <c r="K505">
        <v>0</v>
      </c>
      <c r="L505">
        <v>225.86401330000001</v>
      </c>
      <c r="M505" t="s">
        <v>1204</v>
      </c>
      <c r="N505" t="s">
        <v>569</v>
      </c>
      <c r="O505">
        <v>65</v>
      </c>
      <c r="P505">
        <v>225.86401330000001</v>
      </c>
      <c r="Q505" t="s">
        <v>1204</v>
      </c>
      <c r="R505">
        <v>48.430919439999997</v>
      </c>
      <c r="S505" t="s">
        <v>1213</v>
      </c>
      <c r="T505">
        <v>-123.3204944</v>
      </c>
      <c r="U505" t="s">
        <v>1206</v>
      </c>
      <c r="V505" t="s">
        <v>569</v>
      </c>
      <c r="W505" t="s">
        <v>569</v>
      </c>
      <c r="X505">
        <v>0</v>
      </c>
      <c r="Y505" t="s">
        <v>1214</v>
      </c>
      <c r="Z505" t="s">
        <v>569</v>
      </c>
      <c r="AA505" t="s">
        <v>1229</v>
      </c>
      <c r="AB505">
        <v>50</v>
      </c>
      <c r="AC50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6" spans="1:29" x14ac:dyDescent="0.25">
      <c r="A506" t="s">
        <v>823</v>
      </c>
      <c r="B506" t="s">
        <v>557</v>
      </c>
      <c r="C506" t="s">
        <v>504</v>
      </c>
      <c r="D506" t="s">
        <v>501</v>
      </c>
      <c r="E506" t="s">
        <v>502</v>
      </c>
      <c r="F506" t="s">
        <v>569</v>
      </c>
      <c r="G506" t="s">
        <v>569</v>
      </c>
      <c r="H506" t="s">
        <v>569</v>
      </c>
      <c r="I506" t="s">
        <v>569</v>
      </c>
      <c r="J506" t="s">
        <v>569</v>
      </c>
      <c r="K506">
        <v>0</v>
      </c>
      <c r="L506" t="s">
        <v>569</v>
      </c>
      <c r="M506" t="s">
        <v>569</v>
      </c>
      <c r="N506" t="s">
        <v>569</v>
      </c>
      <c r="O506" t="s">
        <v>569</v>
      </c>
      <c r="P506" t="s">
        <v>569</v>
      </c>
      <c r="Q506" t="s">
        <v>569</v>
      </c>
      <c r="R506">
        <v>49.793817140000002</v>
      </c>
      <c r="S506" t="s">
        <v>1213</v>
      </c>
      <c r="T506">
        <v>-124.47542489999999</v>
      </c>
      <c r="U506" t="s">
        <v>1206</v>
      </c>
      <c r="V506" t="s">
        <v>569</v>
      </c>
      <c r="W506" t="s">
        <v>569</v>
      </c>
      <c r="X506" t="s">
        <v>569</v>
      </c>
      <c r="Y506" t="s">
        <v>569</v>
      </c>
      <c r="Z506" t="s">
        <v>569</v>
      </c>
      <c r="AA506" t="s">
        <v>1229</v>
      </c>
      <c r="AB506">
        <v>50</v>
      </c>
      <c r="AC50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7" spans="1:29" x14ac:dyDescent="0.25">
      <c r="A507" t="s">
        <v>1373</v>
      </c>
      <c r="B507" t="s">
        <v>557</v>
      </c>
      <c r="C507" t="s">
        <v>504</v>
      </c>
      <c r="D507" t="s">
        <v>501</v>
      </c>
      <c r="E507" t="s">
        <v>502</v>
      </c>
      <c r="F507" t="s">
        <v>569</v>
      </c>
      <c r="G507" t="s">
        <v>569</v>
      </c>
      <c r="H507" t="s">
        <v>569</v>
      </c>
      <c r="I507" t="s">
        <v>569</v>
      </c>
      <c r="J507" t="s">
        <v>569</v>
      </c>
      <c r="K507" t="s">
        <v>569</v>
      </c>
      <c r="L507" t="s">
        <v>569</v>
      </c>
      <c r="M507" t="s">
        <v>569</v>
      </c>
      <c r="N507" t="s">
        <v>569</v>
      </c>
      <c r="O507" t="s">
        <v>569</v>
      </c>
      <c r="P507" t="s">
        <v>569</v>
      </c>
      <c r="Q507" t="s">
        <v>569</v>
      </c>
      <c r="R507" t="s">
        <v>569</v>
      </c>
      <c r="S507" t="s">
        <v>569</v>
      </c>
      <c r="T507" t="s">
        <v>569</v>
      </c>
      <c r="U507" t="s">
        <v>569</v>
      </c>
      <c r="V507" t="s">
        <v>569</v>
      </c>
      <c r="W507" t="s">
        <v>569</v>
      </c>
      <c r="X507" t="s">
        <v>569</v>
      </c>
      <c r="Y507" t="s">
        <v>569</v>
      </c>
      <c r="Z507" t="s">
        <v>569</v>
      </c>
      <c r="AA507" t="s">
        <v>569</v>
      </c>
      <c r="AB507">
        <v>50</v>
      </c>
      <c r="AC50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8" spans="1:29" x14ac:dyDescent="0.25">
      <c r="A508" t="s">
        <v>643</v>
      </c>
      <c r="B508" t="s">
        <v>545</v>
      </c>
      <c r="C508" t="s">
        <v>504</v>
      </c>
      <c r="D508" t="s">
        <v>501</v>
      </c>
      <c r="E508" t="s">
        <v>502</v>
      </c>
      <c r="F508" t="s">
        <v>569</v>
      </c>
      <c r="G508" t="s">
        <v>569</v>
      </c>
      <c r="H508" t="s">
        <v>569</v>
      </c>
      <c r="I508" t="s">
        <v>569</v>
      </c>
      <c r="J508" t="s">
        <v>569</v>
      </c>
      <c r="K508" t="s">
        <v>569</v>
      </c>
      <c r="L508" t="s">
        <v>569</v>
      </c>
      <c r="M508" t="s">
        <v>569</v>
      </c>
      <c r="N508" t="s">
        <v>569</v>
      </c>
      <c r="O508" t="s">
        <v>569</v>
      </c>
      <c r="P508" t="s">
        <v>569</v>
      </c>
      <c r="Q508" t="s">
        <v>569</v>
      </c>
      <c r="R508">
        <v>49.312847220000002</v>
      </c>
      <c r="S508" t="s">
        <v>1213</v>
      </c>
      <c r="T508">
        <v>-124.27053890000001</v>
      </c>
      <c r="U508" t="s">
        <v>1206</v>
      </c>
      <c r="V508" t="s">
        <v>569</v>
      </c>
      <c r="W508" t="s">
        <v>569</v>
      </c>
      <c r="X508" t="s">
        <v>569</v>
      </c>
      <c r="Y508" t="s">
        <v>569</v>
      </c>
      <c r="Z508" t="s">
        <v>569</v>
      </c>
      <c r="AA508" t="s">
        <v>1230</v>
      </c>
      <c r="AB508">
        <v>50</v>
      </c>
      <c r="AC50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09" spans="1:29" x14ac:dyDescent="0.25">
      <c r="A509" t="s">
        <v>842</v>
      </c>
      <c r="B509" t="s">
        <v>557</v>
      </c>
      <c r="C509" t="s">
        <v>504</v>
      </c>
      <c r="D509" t="s">
        <v>501</v>
      </c>
      <c r="E509" t="s">
        <v>502</v>
      </c>
      <c r="F509" t="s">
        <v>569</v>
      </c>
      <c r="G509" t="s">
        <v>569</v>
      </c>
      <c r="H509" t="s">
        <v>569</v>
      </c>
      <c r="I509" t="s">
        <v>569</v>
      </c>
      <c r="J509" t="s">
        <v>569</v>
      </c>
      <c r="K509">
        <v>0</v>
      </c>
      <c r="L509" t="s">
        <v>569</v>
      </c>
      <c r="M509" t="s">
        <v>569</v>
      </c>
      <c r="N509" t="s">
        <v>569</v>
      </c>
      <c r="O509" t="s">
        <v>569</v>
      </c>
      <c r="P509" t="s">
        <v>569</v>
      </c>
      <c r="Q509" t="s">
        <v>569</v>
      </c>
      <c r="R509">
        <v>49.993725820000002</v>
      </c>
      <c r="S509" t="s">
        <v>1213</v>
      </c>
      <c r="T509">
        <v>-124.7161102</v>
      </c>
      <c r="U509" t="s">
        <v>1206</v>
      </c>
      <c r="V509" t="s">
        <v>569</v>
      </c>
      <c r="W509" t="s">
        <v>569</v>
      </c>
      <c r="X509" t="s">
        <v>569</v>
      </c>
      <c r="Y509" t="s">
        <v>569</v>
      </c>
      <c r="Z509" t="s">
        <v>569</v>
      </c>
      <c r="AA509" t="s">
        <v>1230</v>
      </c>
      <c r="AB509">
        <v>50</v>
      </c>
      <c r="AC50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0" spans="1:29" x14ac:dyDescent="0.25">
      <c r="A510" t="s">
        <v>1377</v>
      </c>
      <c r="B510" t="s">
        <v>557</v>
      </c>
      <c r="C510" t="s">
        <v>504</v>
      </c>
      <c r="D510" t="s">
        <v>501</v>
      </c>
      <c r="E510" t="s">
        <v>502</v>
      </c>
      <c r="F510" t="s">
        <v>569</v>
      </c>
      <c r="G510" t="s">
        <v>569</v>
      </c>
      <c r="H510" t="s">
        <v>569</v>
      </c>
      <c r="I510" t="s">
        <v>569</v>
      </c>
      <c r="J510" t="s">
        <v>569</v>
      </c>
      <c r="K510" t="s">
        <v>569</v>
      </c>
      <c r="L510" t="s">
        <v>569</v>
      </c>
      <c r="M510" t="s">
        <v>569</v>
      </c>
      <c r="N510" t="s">
        <v>569</v>
      </c>
      <c r="O510" t="s">
        <v>569</v>
      </c>
      <c r="P510" t="s">
        <v>569</v>
      </c>
      <c r="Q510" t="s">
        <v>569</v>
      </c>
      <c r="R510" t="s">
        <v>569</v>
      </c>
      <c r="S510" t="s">
        <v>569</v>
      </c>
      <c r="T510" t="s">
        <v>569</v>
      </c>
      <c r="U510" t="s">
        <v>569</v>
      </c>
      <c r="V510" t="s">
        <v>569</v>
      </c>
      <c r="W510" t="s">
        <v>569</v>
      </c>
      <c r="X510" t="s">
        <v>569</v>
      </c>
      <c r="Y510" t="s">
        <v>569</v>
      </c>
      <c r="Z510" t="s">
        <v>569</v>
      </c>
      <c r="AA510" t="s">
        <v>569</v>
      </c>
      <c r="AB510">
        <v>50</v>
      </c>
      <c r="AC51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1" spans="1:29" x14ac:dyDescent="0.25">
      <c r="A511" t="s">
        <v>659</v>
      </c>
      <c r="B511" t="s">
        <v>651</v>
      </c>
      <c r="C511" t="s">
        <v>655</v>
      </c>
      <c r="D511" t="s">
        <v>652</v>
      </c>
      <c r="E511" t="s">
        <v>653</v>
      </c>
      <c r="F511" t="s">
        <v>569</v>
      </c>
      <c r="G511" t="s">
        <v>569</v>
      </c>
      <c r="H511" t="s">
        <v>569</v>
      </c>
      <c r="I511" t="s">
        <v>569</v>
      </c>
      <c r="J511" t="s">
        <v>569</v>
      </c>
      <c r="K511">
        <v>0</v>
      </c>
      <c r="L511" t="s">
        <v>569</v>
      </c>
      <c r="M511" t="s">
        <v>569</v>
      </c>
      <c r="N511" t="s">
        <v>569</v>
      </c>
      <c r="O511" t="s">
        <v>569</v>
      </c>
      <c r="P511" t="s">
        <v>569</v>
      </c>
      <c r="Q511" t="s">
        <v>569</v>
      </c>
      <c r="R511">
        <v>18.46658377</v>
      </c>
      <c r="S511" t="s">
        <v>1213</v>
      </c>
      <c r="T511">
        <v>-66.105766299999999</v>
      </c>
      <c r="U511" t="s">
        <v>1206</v>
      </c>
      <c r="V511" t="s">
        <v>569</v>
      </c>
      <c r="W511" t="s">
        <v>569</v>
      </c>
      <c r="X511" t="s">
        <v>569</v>
      </c>
      <c r="Y511" t="s">
        <v>569</v>
      </c>
      <c r="Z511" t="s">
        <v>569</v>
      </c>
      <c r="AA511" t="s">
        <v>1229</v>
      </c>
      <c r="AB511">
        <v>50</v>
      </c>
      <c r="AC5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2" spans="1:29" x14ac:dyDescent="0.25">
      <c r="A512" t="s">
        <v>768</v>
      </c>
      <c r="B512" t="s">
        <v>764</v>
      </c>
      <c r="C512" t="s">
        <v>764</v>
      </c>
      <c r="D512" t="s">
        <v>756</v>
      </c>
      <c r="E512" t="s">
        <v>757</v>
      </c>
      <c r="F512" t="s">
        <v>569</v>
      </c>
      <c r="G512" t="s">
        <v>569</v>
      </c>
      <c r="H512" t="s">
        <v>569</v>
      </c>
      <c r="I512" t="s">
        <v>569</v>
      </c>
      <c r="J512" t="s">
        <v>569</v>
      </c>
      <c r="K512">
        <v>0</v>
      </c>
      <c r="L512" t="s">
        <v>569</v>
      </c>
      <c r="M512" t="s">
        <v>569</v>
      </c>
      <c r="N512" t="s">
        <v>569</v>
      </c>
      <c r="O512" t="s">
        <v>569</v>
      </c>
      <c r="P512" t="s">
        <v>569</v>
      </c>
      <c r="Q512" t="s">
        <v>569</v>
      </c>
      <c r="R512">
        <v>11.56653174</v>
      </c>
      <c r="S512" t="s">
        <v>1213</v>
      </c>
      <c r="T512">
        <v>104.9191438</v>
      </c>
      <c r="U512" t="s">
        <v>1201</v>
      </c>
      <c r="V512" t="s">
        <v>569</v>
      </c>
      <c r="W512" t="s">
        <v>569</v>
      </c>
      <c r="X512" t="s">
        <v>569</v>
      </c>
      <c r="Y512" t="s">
        <v>569</v>
      </c>
      <c r="Z512" t="s">
        <v>569</v>
      </c>
      <c r="AA512" t="s">
        <v>1229</v>
      </c>
      <c r="AB512">
        <v>50</v>
      </c>
      <c r="AC5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3" spans="1:29" x14ac:dyDescent="0.25">
      <c r="A513" t="s">
        <v>563</v>
      </c>
      <c r="B513" t="s">
        <v>513</v>
      </c>
      <c r="C513" t="s">
        <v>504</v>
      </c>
      <c r="D513" t="s">
        <v>501</v>
      </c>
      <c r="E513" t="s">
        <v>502</v>
      </c>
      <c r="F513" t="s">
        <v>569</v>
      </c>
      <c r="G513" t="s">
        <v>569</v>
      </c>
      <c r="H513" t="s">
        <v>569</v>
      </c>
      <c r="I513" t="s">
        <v>569</v>
      </c>
      <c r="J513" t="s">
        <v>569</v>
      </c>
      <c r="K513">
        <v>0</v>
      </c>
      <c r="L513" t="s">
        <v>569</v>
      </c>
      <c r="M513" t="s">
        <v>569</v>
      </c>
      <c r="N513" t="s">
        <v>569</v>
      </c>
      <c r="O513" t="s">
        <v>569</v>
      </c>
      <c r="P513" t="s">
        <v>569</v>
      </c>
      <c r="Q513" t="s">
        <v>569</v>
      </c>
      <c r="R513">
        <v>49.284659660000003</v>
      </c>
      <c r="S513" t="s">
        <v>1213</v>
      </c>
      <c r="T513">
        <v>-123.038764</v>
      </c>
      <c r="U513" t="s">
        <v>1206</v>
      </c>
      <c r="V513" t="s">
        <v>569</v>
      </c>
      <c r="W513" t="s">
        <v>569</v>
      </c>
      <c r="X513" t="s">
        <v>569</v>
      </c>
      <c r="Y513" t="s">
        <v>569</v>
      </c>
      <c r="Z513" t="s">
        <v>569</v>
      </c>
      <c r="AA513" t="s">
        <v>1229</v>
      </c>
      <c r="AB513">
        <v>50</v>
      </c>
      <c r="AC5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4" spans="1:29" x14ac:dyDescent="0.25">
      <c r="A514" t="s">
        <v>737</v>
      </c>
      <c r="B514" t="s">
        <v>726</v>
      </c>
      <c r="C514" t="s">
        <v>728</v>
      </c>
      <c r="D514" t="s">
        <v>652</v>
      </c>
      <c r="E514" t="s">
        <v>653</v>
      </c>
      <c r="F514" t="s">
        <v>569</v>
      </c>
      <c r="G514" t="s">
        <v>569</v>
      </c>
      <c r="H514" t="s">
        <v>569</v>
      </c>
      <c r="I514" t="s">
        <v>569</v>
      </c>
      <c r="J514" t="s">
        <v>569</v>
      </c>
      <c r="K514">
        <v>0</v>
      </c>
      <c r="L514" t="s">
        <v>569</v>
      </c>
      <c r="M514" t="s">
        <v>569</v>
      </c>
      <c r="N514" t="s">
        <v>569</v>
      </c>
      <c r="O514" t="s">
        <v>569</v>
      </c>
      <c r="P514" t="s">
        <v>569</v>
      </c>
      <c r="Q514" t="s">
        <v>569</v>
      </c>
      <c r="R514">
        <v>47.621206829999998</v>
      </c>
      <c r="S514" t="s">
        <v>1213</v>
      </c>
      <c r="T514">
        <v>-122.34950069999999</v>
      </c>
      <c r="U514" t="s">
        <v>1206</v>
      </c>
      <c r="V514" t="s">
        <v>569</v>
      </c>
      <c r="W514" t="s">
        <v>569</v>
      </c>
      <c r="X514" t="s">
        <v>569</v>
      </c>
      <c r="Y514" t="s">
        <v>569</v>
      </c>
      <c r="Z514" s="9">
        <v>0</v>
      </c>
      <c r="AA514" t="s">
        <v>1229</v>
      </c>
      <c r="AB514">
        <v>50</v>
      </c>
      <c r="AC51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5" spans="1:29" x14ac:dyDescent="0.25">
      <c r="A515" t="s">
        <v>874</v>
      </c>
      <c r="B515" t="s">
        <v>873</v>
      </c>
      <c r="C515" t="s">
        <v>504</v>
      </c>
      <c r="D515" t="s">
        <v>501</v>
      </c>
      <c r="E515" t="s">
        <v>502</v>
      </c>
      <c r="F515" t="s">
        <v>569</v>
      </c>
      <c r="G515" t="s">
        <v>569</v>
      </c>
      <c r="H515" t="s">
        <v>569</v>
      </c>
      <c r="I515" t="s">
        <v>569</v>
      </c>
      <c r="J515" t="s">
        <v>569</v>
      </c>
      <c r="K515">
        <v>0</v>
      </c>
      <c r="L515" t="s">
        <v>569</v>
      </c>
      <c r="M515" t="s">
        <v>569</v>
      </c>
      <c r="N515" t="s">
        <v>569</v>
      </c>
      <c r="O515" t="s">
        <v>569</v>
      </c>
      <c r="P515" t="s">
        <v>569</v>
      </c>
      <c r="Q515" t="s">
        <v>569</v>
      </c>
      <c r="R515">
        <v>49.14796621</v>
      </c>
      <c r="S515" t="s">
        <v>1213</v>
      </c>
      <c r="T515">
        <v>-123.6966348</v>
      </c>
      <c r="U515" t="s">
        <v>1206</v>
      </c>
      <c r="V515" t="s">
        <v>569</v>
      </c>
      <c r="W515" t="s">
        <v>569</v>
      </c>
      <c r="X515" t="s">
        <v>569</v>
      </c>
      <c r="Y515" t="s">
        <v>569</v>
      </c>
      <c r="Z515" t="s">
        <v>569</v>
      </c>
      <c r="AA515" t="s">
        <v>1229</v>
      </c>
      <c r="AB515">
        <v>50</v>
      </c>
      <c r="AC5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6" spans="1:29" x14ac:dyDescent="0.25">
      <c r="A516" t="s">
        <v>570</v>
      </c>
      <c r="B516" t="s">
        <v>505</v>
      </c>
      <c r="C516" t="s">
        <v>504</v>
      </c>
      <c r="D516" t="s">
        <v>501</v>
      </c>
      <c r="E516" t="s">
        <v>502</v>
      </c>
      <c r="F516" t="s">
        <v>569</v>
      </c>
      <c r="G516" t="s">
        <v>569</v>
      </c>
      <c r="H516" t="s">
        <v>569</v>
      </c>
      <c r="I516" t="s">
        <v>569</v>
      </c>
      <c r="J516">
        <v>4.2262776300000002</v>
      </c>
      <c r="K516">
        <v>0</v>
      </c>
      <c r="L516">
        <v>162.52893890000001</v>
      </c>
      <c r="M516" t="s">
        <v>1204</v>
      </c>
      <c r="N516" t="s">
        <v>569</v>
      </c>
      <c r="O516">
        <v>5.897467829</v>
      </c>
      <c r="P516">
        <v>162.52893890000001</v>
      </c>
      <c r="Q516" t="s">
        <v>1204</v>
      </c>
      <c r="R516">
        <v>48.473927779999997</v>
      </c>
      <c r="S516" t="s">
        <v>1213</v>
      </c>
      <c r="T516">
        <v>-123.4005444</v>
      </c>
      <c r="U516" t="s">
        <v>1206</v>
      </c>
      <c r="V516" t="s">
        <v>569</v>
      </c>
      <c r="W516" t="s">
        <v>569</v>
      </c>
      <c r="X516">
        <v>0.74997234199999996</v>
      </c>
      <c r="Y516" t="s">
        <v>1214</v>
      </c>
      <c r="Z516" t="s">
        <v>569</v>
      </c>
      <c r="AA516" t="s">
        <v>1230</v>
      </c>
      <c r="AB516">
        <v>50</v>
      </c>
      <c r="AC5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7" spans="1:29" x14ac:dyDescent="0.25">
      <c r="A517" t="s">
        <v>638</v>
      </c>
      <c r="B517" t="s">
        <v>637</v>
      </c>
      <c r="C517" t="s">
        <v>504</v>
      </c>
      <c r="D517" t="s">
        <v>501</v>
      </c>
      <c r="E517" t="s">
        <v>502</v>
      </c>
      <c r="F517" t="s">
        <v>569</v>
      </c>
      <c r="G517" t="s">
        <v>569</v>
      </c>
      <c r="H517" t="s">
        <v>569</v>
      </c>
      <c r="I517" t="s">
        <v>569</v>
      </c>
      <c r="J517" t="s">
        <v>569</v>
      </c>
      <c r="K517">
        <v>0</v>
      </c>
      <c r="L517" t="s">
        <v>569</v>
      </c>
      <c r="M517" t="s">
        <v>569</v>
      </c>
      <c r="N517" t="s">
        <v>569</v>
      </c>
      <c r="O517" t="s">
        <v>569</v>
      </c>
      <c r="P517" t="s">
        <v>569</v>
      </c>
      <c r="Q517" t="s">
        <v>569</v>
      </c>
      <c r="R517">
        <v>51.278501390000002</v>
      </c>
      <c r="S517" t="s">
        <v>1213</v>
      </c>
      <c r="T517">
        <v>-116.80538540000001</v>
      </c>
      <c r="U517" t="s">
        <v>1206</v>
      </c>
      <c r="V517" t="s">
        <v>569</v>
      </c>
      <c r="W517" t="s">
        <v>569</v>
      </c>
      <c r="X517" t="s">
        <v>569</v>
      </c>
      <c r="Y517" t="s">
        <v>569</v>
      </c>
      <c r="Z517" t="s">
        <v>569</v>
      </c>
      <c r="AA517" t="s">
        <v>1229</v>
      </c>
      <c r="AB517">
        <v>50</v>
      </c>
      <c r="AC5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8" spans="1:29" x14ac:dyDescent="0.25">
      <c r="A518" t="s">
        <v>642</v>
      </c>
      <c r="B518" t="s">
        <v>545</v>
      </c>
      <c r="C518" t="s">
        <v>504</v>
      </c>
      <c r="D518" t="s">
        <v>501</v>
      </c>
      <c r="E518" t="s">
        <v>502</v>
      </c>
      <c r="F518" t="s">
        <v>569</v>
      </c>
      <c r="G518" t="s">
        <v>569</v>
      </c>
      <c r="H518" t="s">
        <v>569</v>
      </c>
      <c r="I518" t="s">
        <v>569</v>
      </c>
      <c r="J518" t="s">
        <v>569</v>
      </c>
      <c r="K518">
        <v>0</v>
      </c>
      <c r="L518" t="s">
        <v>569</v>
      </c>
      <c r="M518" t="s">
        <v>569</v>
      </c>
      <c r="N518" t="s">
        <v>569</v>
      </c>
      <c r="O518" t="s">
        <v>569</v>
      </c>
      <c r="P518" t="s">
        <v>569</v>
      </c>
      <c r="Q518" t="s">
        <v>569</v>
      </c>
      <c r="R518">
        <v>49.305489600000001</v>
      </c>
      <c r="S518" t="s">
        <v>1213</v>
      </c>
      <c r="T518">
        <v>-124.26038149999999</v>
      </c>
      <c r="U518" t="s">
        <v>1206</v>
      </c>
      <c r="V518" t="s">
        <v>569</v>
      </c>
      <c r="W518" t="s">
        <v>569</v>
      </c>
      <c r="X518" t="s">
        <v>569</v>
      </c>
      <c r="Y518" t="s">
        <v>569</v>
      </c>
      <c r="Z518" t="s">
        <v>569</v>
      </c>
      <c r="AA518" t="s">
        <v>1229</v>
      </c>
      <c r="AB518">
        <v>50</v>
      </c>
      <c r="AC5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19" spans="1:29" x14ac:dyDescent="0.25">
      <c r="A519" t="s">
        <v>503</v>
      </c>
      <c r="B519" t="s">
        <v>500</v>
      </c>
      <c r="C519" t="s">
        <v>504</v>
      </c>
      <c r="D519" t="s">
        <v>501</v>
      </c>
      <c r="E519" t="s">
        <v>502</v>
      </c>
      <c r="F519" t="s">
        <v>569</v>
      </c>
      <c r="G519" t="s">
        <v>569</v>
      </c>
      <c r="H519" t="s">
        <v>569</v>
      </c>
      <c r="I519" t="s">
        <v>569</v>
      </c>
      <c r="J519" t="s">
        <v>569</v>
      </c>
      <c r="K519">
        <v>0</v>
      </c>
      <c r="L519" t="s">
        <v>569</v>
      </c>
      <c r="M519" t="s">
        <v>569</v>
      </c>
      <c r="N519" t="s">
        <v>569</v>
      </c>
      <c r="O519" t="s">
        <v>569</v>
      </c>
      <c r="P519" t="s">
        <v>569</v>
      </c>
      <c r="Q519" t="s">
        <v>569</v>
      </c>
      <c r="R519">
        <v>49.157776140000003</v>
      </c>
      <c r="S519" t="s">
        <v>1213</v>
      </c>
      <c r="T519">
        <v>-122.2686911</v>
      </c>
      <c r="U519" t="s">
        <v>1206</v>
      </c>
      <c r="V519" t="s">
        <v>569</v>
      </c>
      <c r="W519" t="s">
        <v>569</v>
      </c>
      <c r="X519" t="s">
        <v>569</v>
      </c>
      <c r="Y519" t="s">
        <v>569</v>
      </c>
      <c r="Z519" t="s">
        <v>569</v>
      </c>
      <c r="AA519" t="s">
        <v>1229</v>
      </c>
      <c r="AB519">
        <v>50</v>
      </c>
      <c r="AC5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0" spans="1:29" x14ac:dyDescent="0.25">
      <c r="A520" t="s">
        <v>1362</v>
      </c>
      <c r="B520" t="s">
        <v>500</v>
      </c>
      <c r="C520" t="s">
        <v>504</v>
      </c>
      <c r="D520" t="s">
        <v>501</v>
      </c>
      <c r="E520" t="s">
        <v>502</v>
      </c>
      <c r="F520" t="s">
        <v>569</v>
      </c>
      <c r="G520" t="s">
        <v>569</v>
      </c>
      <c r="H520" t="s">
        <v>569</v>
      </c>
      <c r="I520" t="s">
        <v>569</v>
      </c>
      <c r="J520" t="s">
        <v>569</v>
      </c>
      <c r="K520" t="s">
        <v>569</v>
      </c>
      <c r="L520" t="s">
        <v>569</v>
      </c>
      <c r="M520" t="s">
        <v>569</v>
      </c>
      <c r="N520" t="s">
        <v>569</v>
      </c>
      <c r="O520" t="s">
        <v>569</v>
      </c>
      <c r="P520" t="s">
        <v>569</v>
      </c>
      <c r="Q520" t="s">
        <v>569</v>
      </c>
      <c r="R520" t="s">
        <v>569</v>
      </c>
      <c r="S520" t="s">
        <v>569</v>
      </c>
      <c r="T520" t="s">
        <v>569</v>
      </c>
      <c r="U520" t="s">
        <v>569</v>
      </c>
      <c r="V520" t="s">
        <v>569</v>
      </c>
      <c r="W520" t="s">
        <v>569</v>
      </c>
      <c r="X520" t="s">
        <v>569</v>
      </c>
      <c r="Y520" t="s">
        <v>569</v>
      </c>
      <c r="Z520" t="s">
        <v>569</v>
      </c>
      <c r="AA520" t="s">
        <v>569</v>
      </c>
      <c r="AB520">
        <v>50</v>
      </c>
      <c r="AC52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1" spans="1:29" x14ac:dyDescent="0.25">
      <c r="A521" t="s">
        <v>678</v>
      </c>
      <c r="B521" t="s">
        <v>521</v>
      </c>
      <c r="C521" t="s">
        <v>525</v>
      </c>
      <c r="D521" t="s">
        <v>522</v>
      </c>
      <c r="E521" t="s">
        <v>523</v>
      </c>
      <c r="F521" t="s">
        <v>569</v>
      </c>
      <c r="G521" t="s">
        <v>569</v>
      </c>
      <c r="H521" t="s">
        <v>569</v>
      </c>
      <c r="I521" t="s">
        <v>569</v>
      </c>
      <c r="J521" t="s">
        <v>569</v>
      </c>
      <c r="K521">
        <v>0</v>
      </c>
      <c r="L521" t="s">
        <v>569</v>
      </c>
      <c r="M521" t="s">
        <v>569</v>
      </c>
      <c r="N521" t="s">
        <v>569</v>
      </c>
      <c r="O521" t="s">
        <v>569</v>
      </c>
      <c r="P521" t="s">
        <v>569</v>
      </c>
      <c r="Q521" t="s">
        <v>569</v>
      </c>
      <c r="R521">
        <v>-31.976555879999999</v>
      </c>
      <c r="S521" t="s">
        <v>1111</v>
      </c>
      <c r="T521">
        <v>115.85387710000001</v>
      </c>
      <c r="U521" t="s">
        <v>1201</v>
      </c>
      <c r="V521" t="s">
        <v>569</v>
      </c>
      <c r="W521" t="s">
        <v>569</v>
      </c>
      <c r="X521" t="s">
        <v>569</v>
      </c>
      <c r="Y521" t="s">
        <v>569</v>
      </c>
      <c r="Z521" s="9">
        <v>0</v>
      </c>
      <c r="AA521" t="s">
        <v>1229</v>
      </c>
      <c r="AB521">
        <v>50</v>
      </c>
      <c r="AC5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2" spans="1:29" x14ac:dyDescent="0.25">
      <c r="A522" t="s">
        <v>731</v>
      </c>
      <c r="B522" t="s">
        <v>726</v>
      </c>
      <c r="C522" t="s">
        <v>728</v>
      </c>
      <c r="D522" t="s">
        <v>652</v>
      </c>
      <c r="E522" t="s">
        <v>653</v>
      </c>
      <c r="F522" t="s">
        <v>569</v>
      </c>
      <c r="G522" t="s">
        <v>569</v>
      </c>
      <c r="H522" t="s">
        <v>569</v>
      </c>
      <c r="I522" t="s">
        <v>569</v>
      </c>
      <c r="J522" t="s">
        <v>569</v>
      </c>
      <c r="K522">
        <v>0</v>
      </c>
      <c r="L522" t="s">
        <v>569</v>
      </c>
      <c r="M522" t="s">
        <v>569</v>
      </c>
      <c r="N522" t="s">
        <v>569</v>
      </c>
      <c r="O522" t="s">
        <v>569</v>
      </c>
      <c r="P522" t="s">
        <v>569</v>
      </c>
      <c r="Q522" t="s">
        <v>569</v>
      </c>
      <c r="R522">
        <v>47.608581729999997</v>
      </c>
      <c r="S522" t="s">
        <v>1213</v>
      </c>
      <c r="T522">
        <v>-122.3406413</v>
      </c>
      <c r="U522" t="s">
        <v>1206</v>
      </c>
      <c r="V522" t="s">
        <v>569</v>
      </c>
      <c r="W522" t="s">
        <v>569</v>
      </c>
      <c r="X522" t="s">
        <v>569</v>
      </c>
      <c r="Y522" t="s">
        <v>569</v>
      </c>
      <c r="Z522" s="9">
        <v>0</v>
      </c>
      <c r="AA522" t="s">
        <v>1229</v>
      </c>
      <c r="AB522">
        <v>50</v>
      </c>
      <c r="AC52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3" spans="1:29" x14ac:dyDescent="0.25">
      <c r="A523" t="s">
        <v>649</v>
      </c>
      <c r="B523" t="s">
        <v>726</v>
      </c>
      <c r="C523" t="s">
        <v>728</v>
      </c>
      <c r="D523" t="s">
        <v>652</v>
      </c>
      <c r="E523" t="s">
        <v>653</v>
      </c>
      <c r="F523" t="s">
        <v>569</v>
      </c>
      <c r="G523" t="s">
        <v>569</v>
      </c>
      <c r="H523" t="s">
        <v>569</v>
      </c>
      <c r="I523" t="s">
        <v>569</v>
      </c>
      <c r="J523" t="s">
        <v>569</v>
      </c>
      <c r="K523">
        <v>0</v>
      </c>
      <c r="L523" t="s">
        <v>569</v>
      </c>
      <c r="M523" t="s">
        <v>569</v>
      </c>
      <c r="N523" t="s">
        <v>569</v>
      </c>
      <c r="O523" t="s">
        <v>569</v>
      </c>
      <c r="P523" t="s">
        <v>569</v>
      </c>
      <c r="Q523" t="s">
        <v>569</v>
      </c>
      <c r="R523">
        <v>47.60206865</v>
      </c>
      <c r="S523" t="s">
        <v>1213</v>
      </c>
      <c r="T523">
        <v>-122.3339304</v>
      </c>
      <c r="U523" t="s">
        <v>1206</v>
      </c>
      <c r="V523" t="s">
        <v>569</v>
      </c>
      <c r="W523" t="s">
        <v>569</v>
      </c>
      <c r="X523" t="s">
        <v>569</v>
      </c>
      <c r="Y523" t="s">
        <v>569</v>
      </c>
      <c r="Z523" s="9">
        <v>0</v>
      </c>
      <c r="AA523" t="s">
        <v>1229</v>
      </c>
      <c r="AB523">
        <v>50</v>
      </c>
      <c r="AC52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4" spans="1:29" x14ac:dyDescent="0.25">
      <c r="A524" t="s">
        <v>906</v>
      </c>
      <c r="B524" t="s">
        <v>505</v>
      </c>
      <c r="C524" t="s">
        <v>504</v>
      </c>
      <c r="D524" t="s">
        <v>501</v>
      </c>
      <c r="E524" t="s">
        <v>502</v>
      </c>
      <c r="F524" t="s">
        <v>569</v>
      </c>
      <c r="G524" t="s">
        <v>569</v>
      </c>
      <c r="H524" t="s">
        <v>569</v>
      </c>
      <c r="I524" t="s">
        <v>569</v>
      </c>
      <c r="J524" t="s">
        <v>569</v>
      </c>
      <c r="K524">
        <v>0</v>
      </c>
      <c r="L524" t="s">
        <v>569</v>
      </c>
      <c r="M524" t="s">
        <v>569</v>
      </c>
      <c r="N524" t="s">
        <v>569</v>
      </c>
      <c r="O524" t="s">
        <v>569</v>
      </c>
      <c r="P524" t="s">
        <v>569</v>
      </c>
      <c r="Q524" t="s">
        <v>569</v>
      </c>
      <c r="R524">
        <v>48.436135829999998</v>
      </c>
      <c r="S524" t="s">
        <v>1213</v>
      </c>
      <c r="T524">
        <v>-123.377004</v>
      </c>
      <c r="U524" t="s">
        <v>1206</v>
      </c>
      <c r="V524" t="s">
        <v>569</v>
      </c>
      <c r="W524" t="s">
        <v>569</v>
      </c>
      <c r="X524" t="s">
        <v>569</v>
      </c>
      <c r="Y524" t="s">
        <v>569</v>
      </c>
      <c r="Z524" t="s">
        <v>569</v>
      </c>
      <c r="AA524" t="s">
        <v>1229</v>
      </c>
      <c r="AB524">
        <v>50</v>
      </c>
      <c r="AC5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5" spans="1:29" x14ac:dyDescent="0.25">
      <c r="A525" t="s">
        <v>1423</v>
      </c>
      <c r="B525" t="s">
        <v>1025</v>
      </c>
      <c r="C525" t="s">
        <v>1282</v>
      </c>
      <c r="D525" t="s">
        <v>652</v>
      </c>
      <c r="E525" t="s">
        <v>653</v>
      </c>
      <c r="F525" t="s">
        <v>569</v>
      </c>
      <c r="G525" t="s">
        <v>569</v>
      </c>
      <c r="H525" t="s">
        <v>569</v>
      </c>
      <c r="I525" t="s">
        <v>569</v>
      </c>
      <c r="J525" t="s">
        <v>569</v>
      </c>
      <c r="K525" t="s">
        <v>569</v>
      </c>
      <c r="L525" t="s">
        <v>569</v>
      </c>
      <c r="M525" t="s">
        <v>569</v>
      </c>
      <c r="N525" t="s">
        <v>569</v>
      </c>
      <c r="O525" t="s">
        <v>569</v>
      </c>
      <c r="P525" t="s">
        <v>569</v>
      </c>
      <c r="Q525" t="s">
        <v>569</v>
      </c>
      <c r="R525" t="s">
        <v>569</v>
      </c>
      <c r="S525" t="s">
        <v>569</v>
      </c>
      <c r="T525" t="s">
        <v>569</v>
      </c>
      <c r="U525" t="s">
        <v>569</v>
      </c>
      <c r="V525" t="s">
        <v>569</v>
      </c>
      <c r="W525" t="s">
        <v>569</v>
      </c>
      <c r="X525" t="s">
        <v>569</v>
      </c>
      <c r="Y525" t="s">
        <v>569</v>
      </c>
      <c r="Z525" t="s">
        <v>569</v>
      </c>
      <c r="AA525" t="s">
        <v>569</v>
      </c>
      <c r="AB525">
        <v>50</v>
      </c>
      <c r="AC52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6" spans="1:29" x14ac:dyDescent="0.25">
      <c r="A526" t="s">
        <v>1424</v>
      </c>
      <c r="B526" t="s">
        <v>1025</v>
      </c>
      <c r="C526" t="s">
        <v>1282</v>
      </c>
      <c r="D526" t="s">
        <v>652</v>
      </c>
      <c r="E526" t="s">
        <v>653</v>
      </c>
      <c r="F526" t="s">
        <v>569</v>
      </c>
      <c r="G526" t="s">
        <v>569</v>
      </c>
      <c r="H526" t="s">
        <v>569</v>
      </c>
      <c r="I526" t="s">
        <v>569</v>
      </c>
      <c r="J526" t="s">
        <v>569</v>
      </c>
      <c r="K526" t="s">
        <v>569</v>
      </c>
      <c r="L526" t="s">
        <v>569</v>
      </c>
      <c r="M526" t="s">
        <v>569</v>
      </c>
      <c r="N526" t="s">
        <v>569</v>
      </c>
      <c r="O526" t="s">
        <v>569</v>
      </c>
      <c r="P526" t="s">
        <v>569</v>
      </c>
      <c r="Q526" t="s">
        <v>569</v>
      </c>
      <c r="R526" t="s">
        <v>569</v>
      </c>
      <c r="S526" t="s">
        <v>569</v>
      </c>
      <c r="T526" t="s">
        <v>569</v>
      </c>
      <c r="U526" t="s">
        <v>569</v>
      </c>
      <c r="V526" t="s">
        <v>569</v>
      </c>
      <c r="W526" t="s">
        <v>569</v>
      </c>
      <c r="X526" t="s">
        <v>569</v>
      </c>
      <c r="Y526" t="s">
        <v>569</v>
      </c>
      <c r="Z526" t="s">
        <v>569</v>
      </c>
      <c r="AA526" t="s">
        <v>569</v>
      </c>
      <c r="AB526">
        <v>50</v>
      </c>
      <c r="AC52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7" spans="1:29" x14ac:dyDescent="0.25">
      <c r="A527" t="s">
        <v>1343</v>
      </c>
      <c r="B527" t="s">
        <v>1344</v>
      </c>
      <c r="C527" t="s">
        <v>504</v>
      </c>
      <c r="D527" t="s">
        <v>501</v>
      </c>
      <c r="E527" t="s">
        <v>502</v>
      </c>
      <c r="F527" t="s">
        <v>569</v>
      </c>
      <c r="G527" t="s">
        <v>569</v>
      </c>
      <c r="H527" t="s">
        <v>569</v>
      </c>
      <c r="I527" t="s">
        <v>569</v>
      </c>
      <c r="J527" t="s">
        <v>569</v>
      </c>
      <c r="K527" t="s">
        <v>569</v>
      </c>
      <c r="L527" t="s">
        <v>569</v>
      </c>
      <c r="M527" t="s">
        <v>569</v>
      </c>
      <c r="N527" t="s">
        <v>569</v>
      </c>
      <c r="O527" t="s">
        <v>569</v>
      </c>
      <c r="P527" t="s">
        <v>569</v>
      </c>
      <c r="Q527" t="s">
        <v>569</v>
      </c>
      <c r="R527" t="s">
        <v>569</v>
      </c>
      <c r="S527" t="s">
        <v>569</v>
      </c>
      <c r="T527" t="s">
        <v>569</v>
      </c>
      <c r="U527" t="s">
        <v>569</v>
      </c>
      <c r="V527" t="s">
        <v>569</v>
      </c>
      <c r="W527" t="s">
        <v>569</v>
      </c>
      <c r="X527" t="s">
        <v>569</v>
      </c>
      <c r="Y527" t="s">
        <v>569</v>
      </c>
      <c r="Z527" t="s">
        <v>569</v>
      </c>
      <c r="AA527" t="s">
        <v>569</v>
      </c>
      <c r="AB527">
        <v>50</v>
      </c>
      <c r="AC52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8" spans="1:29" x14ac:dyDescent="0.25">
      <c r="A528" t="s">
        <v>657</v>
      </c>
      <c r="B528" t="s">
        <v>651</v>
      </c>
      <c r="C528" t="s">
        <v>655</v>
      </c>
      <c r="D528" t="s">
        <v>652</v>
      </c>
      <c r="E528" t="s">
        <v>653</v>
      </c>
      <c r="F528" t="s">
        <v>569</v>
      </c>
      <c r="G528" t="s">
        <v>569</v>
      </c>
      <c r="H528" t="s">
        <v>569</v>
      </c>
      <c r="I528" t="s">
        <v>569</v>
      </c>
      <c r="J528" t="s">
        <v>569</v>
      </c>
      <c r="K528">
        <v>0</v>
      </c>
      <c r="L528" t="s">
        <v>569</v>
      </c>
      <c r="M528" t="s">
        <v>569</v>
      </c>
      <c r="N528" t="s">
        <v>569</v>
      </c>
      <c r="O528" t="s">
        <v>569</v>
      </c>
      <c r="P528" t="s">
        <v>569</v>
      </c>
      <c r="Q528" t="s">
        <v>569</v>
      </c>
      <c r="R528">
        <v>18.01122269</v>
      </c>
      <c r="S528" t="s">
        <v>1213</v>
      </c>
      <c r="T528">
        <v>-66.614227299999996</v>
      </c>
      <c r="U528" t="s">
        <v>1206</v>
      </c>
      <c r="V528" t="s">
        <v>569</v>
      </c>
      <c r="W528" t="s">
        <v>569</v>
      </c>
      <c r="X528" t="s">
        <v>569</v>
      </c>
      <c r="Y528" t="s">
        <v>569</v>
      </c>
      <c r="Z528" t="s">
        <v>569</v>
      </c>
      <c r="AA528" t="s">
        <v>1229</v>
      </c>
      <c r="AB528">
        <v>50</v>
      </c>
      <c r="AC5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29" spans="1:29" x14ac:dyDescent="0.25">
      <c r="A529" t="s">
        <v>1491</v>
      </c>
      <c r="B529" t="s">
        <v>675</v>
      </c>
      <c r="C529" t="s">
        <v>677</v>
      </c>
      <c r="D529" t="s">
        <v>522</v>
      </c>
      <c r="E529" t="s">
        <v>523</v>
      </c>
      <c r="F529" t="s">
        <v>569</v>
      </c>
      <c r="G529" t="s">
        <v>569</v>
      </c>
      <c r="H529" t="s">
        <v>569</v>
      </c>
      <c r="I529" t="s">
        <v>569</v>
      </c>
      <c r="J529" t="s">
        <v>569</v>
      </c>
      <c r="K529" t="s">
        <v>569</v>
      </c>
      <c r="L529" t="s">
        <v>569</v>
      </c>
      <c r="M529" t="s">
        <v>569</v>
      </c>
      <c r="N529" t="s">
        <v>569</v>
      </c>
      <c r="O529" t="s">
        <v>569</v>
      </c>
      <c r="P529" t="s">
        <v>569</v>
      </c>
      <c r="Q529" t="s">
        <v>569</v>
      </c>
      <c r="R529" t="s">
        <v>569</v>
      </c>
      <c r="S529" t="s">
        <v>569</v>
      </c>
      <c r="T529" t="s">
        <v>569</v>
      </c>
      <c r="U529" t="s">
        <v>569</v>
      </c>
      <c r="V529" t="s">
        <v>569</v>
      </c>
      <c r="W529" t="s">
        <v>569</v>
      </c>
      <c r="X529" t="s">
        <v>569</v>
      </c>
      <c r="Y529" t="s">
        <v>569</v>
      </c>
      <c r="Z529" t="s">
        <v>569</v>
      </c>
      <c r="AA529" t="s">
        <v>569</v>
      </c>
      <c r="AB529">
        <v>50</v>
      </c>
      <c r="AC52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0" spans="1:29" x14ac:dyDescent="0.25">
      <c r="A530" t="s">
        <v>690</v>
      </c>
      <c r="B530" t="s">
        <v>675</v>
      </c>
      <c r="C530" t="s">
        <v>677</v>
      </c>
      <c r="D530" t="s">
        <v>522</v>
      </c>
      <c r="E530" t="s">
        <v>523</v>
      </c>
      <c r="F530" t="s">
        <v>569</v>
      </c>
      <c r="G530" t="s">
        <v>569</v>
      </c>
      <c r="H530" t="s">
        <v>569</v>
      </c>
      <c r="I530" t="s">
        <v>569</v>
      </c>
      <c r="J530" t="s">
        <v>569</v>
      </c>
      <c r="K530">
        <v>0</v>
      </c>
      <c r="L530" t="s">
        <v>569</v>
      </c>
      <c r="M530" t="s">
        <v>569</v>
      </c>
      <c r="N530" t="s">
        <v>569</v>
      </c>
      <c r="O530" t="s">
        <v>569</v>
      </c>
      <c r="P530" t="s">
        <v>569</v>
      </c>
      <c r="Q530" t="s">
        <v>569</v>
      </c>
      <c r="R530">
        <v>-31.42937032</v>
      </c>
      <c r="S530" t="s">
        <v>1111</v>
      </c>
      <c r="T530">
        <v>152.9100564</v>
      </c>
      <c r="U530" t="s">
        <v>1201</v>
      </c>
      <c r="V530" t="s">
        <v>569</v>
      </c>
      <c r="W530" t="s">
        <v>569</v>
      </c>
      <c r="X530" t="s">
        <v>569</v>
      </c>
      <c r="Y530" t="s">
        <v>569</v>
      </c>
      <c r="Z530" s="9">
        <v>0</v>
      </c>
      <c r="AA530" t="s">
        <v>1229</v>
      </c>
      <c r="AB530">
        <v>50</v>
      </c>
      <c r="AC5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1" spans="1:29" x14ac:dyDescent="0.25">
      <c r="A531" t="s">
        <v>981</v>
      </c>
      <c r="B531" t="s">
        <v>505</v>
      </c>
      <c r="C531" t="s">
        <v>504</v>
      </c>
      <c r="D531" t="s">
        <v>501</v>
      </c>
      <c r="E531" t="s">
        <v>502</v>
      </c>
      <c r="F531" t="s">
        <v>569</v>
      </c>
      <c r="G531" t="s">
        <v>569</v>
      </c>
      <c r="H531" t="s">
        <v>569</v>
      </c>
      <c r="I531" t="s">
        <v>569</v>
      </c>
      <c r="J531">
        <v>41.781634940000004</v>
      </c>
      <c r="K531">
        <v>0</v>
      </c>
      <c r="L531">
        <v>222.4721074</v>
      </c>
      <c r="M531" t="s">
        <v>1204</v>
      </c>
      <c r="N531" t="s">
        <v>569</v>
      </c>
      <c r="O531">
        <v>16.002416629999999</v>
      </c>
      <c r="P531">
        <v>222.4721074</v>
      </c>
      <c r="Q531" t="s">
        <v>1204</v>
      </c>
      <c r="R531">
        <v>48.46475556</v>
      </c>
      <c r="S531" t="s">
        <v>1213</v>
      </c>
      <c r="T531">
        <v>-123.4468306</v>
      </c>
      <c r="U531" t="s">
        <v>1206</v>
      </c>
      <c r="V531" t="s">
        <v>569</v>
      </c>
      <c r="W531" t="s">
        <v>569</v>
      </c>
      <c r="X531">
        <v>7.8162520999999999E-2</v>
      </c>
      <c r="Y531" t="s">
        <v>1214</v>
      </c>
      <c r="Z531" t="s">
        <v>569</v>
      </c>
      <c r="AA531" t="s">
        <v>1229</v>
      </c>
      <c r="AB531">
        <v>50</v>
      </c>
      <c r="AC53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2" spans="1:29" x14ac:dyDescent="0.25">
      <c r="A532" t="s">
        <v>1237</v>
      </c>
      <c r="B532" t="s">
        <v>1238</v>
      </c>
      <c r="C532" t="s">
        <v>1235</v>
      </c>
      <c r="D532" t="s">
        <v>1006</v>
      </c>
      <c r="E532" t="s">
        <v>1236</v>
      </c>
      <c r="F532" t="s">
        <v>569</v>
      </c>
      <c r="G532" t="s">
        <v>569</v>
      </c>
      <c r="H532" t="s">
        <v>569</v>
      </c>
      <c r="I532" t="s">
        <v>569</v>
      </c>
      <c r="J532" t="s">
        <v>569</v>
      </c>
      <c r="K532" t="s">
        <v>569</v>
      </c>
      <c r="L532" t="s">
        <v>569</v>
      </c>
      <c r="M532" t="s">
        <v>569</v>
      </c>
      <c r="N532" t="s">
        <v>569</v>
      </c>
      <c r="O532" t="s">
        <v>569</v>
      </c>
      <c r="P532" t="s">
        <v>569</v>
      </c>
      <c r="Q532" t="s">
        <v>569</v>
      </c>
      <c r="R532">
        <v>50.85430607</v>
      </c>
      <c r="S532" t="s">
        <v>1213</v>
      </c>
      <c r="T532">
        <v>-1.086950345</v>
      </c>
      <c r="U532" t="s">
        <v>1206</v>
      </c>
      <c r="V532" t="s">
        <v>569</v>
      </c>
      <c r="W532" t="s">
        <v>569</v>
      </c>
      <c r="X532" t="s">
        <v>569</v>
      </c>
      <c r="Y532" t="s">
        <v>569</v>
      </c>
      <c r="Z532" t="s">
        <v>569</v>
      </c>
      <c r="AA532" t="s">
        <v>1230</v>
      </c>
      <c r="AB532">
        <v>50</v>
      </c>
      <c r="AC5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3" spans="1:29" x14ac:dyDescent="0.25">
      <c r="A533" t="s">
        <v>557</v>
      </c>
      <c r="B533" t="s">
        <v>557</v>
      </c>
      <c r="C533" t="s">
        <v>504</v>
      </c>
      <c r="D533" t="s">
        <v>501</v>
      </c>
      <c r="E533" t="s">
        <v>502</v>
      </c>
      <c r="F533" t="s">
        <v>569</v>
      </c>
      <c r="G533" t="s">
        <v>569</v>
      </c>
      <c r="H533" t="s">
        <v>569</v>
      </c>
      <c r="I533" t="s">
        <v>569</v>
      </c>
      <c r="J533" t="s">
        <v>569</v>
      </c>
      <c r="K533">
        <v>0</v>
      </c>
      <c r="L533" t="s">
        <v>569</v>
      </c>
      <c r="M533" t="s">
        <v>569</v>
      </c>
      <c r="N533" t="s">
        <v>569</v>
      </c>
      <c r="O533" t="s">
        <v>569</v>
      </c>
      <c r="P533" t="s">
        <v>569</v>
      </c>
      <c r="Q533" t="s">
        <v>569</v>
      </c>
      <c r="R533">
        <v>49.863874619999997</v>
      </c>
      <c r="S533" t="s">
        <v>1213</v>
      </c>
      <c r="T533">
        <v>-124.54529909999999</v>
      </c>
      <c r="U533" t="s">
        <v>1206</v>
      </c>
      <c r="V533" t="s">
        <v>569</v>
      </c>
      <c r="W533" t="s">
        <v>569</v>
      </c>
      <c r="X533" t="s">
        <v>569</v>
      </c>
      <c r="Y533" t="s">
        <v>569</v>
      </c>
      <c r="Z533" t="s">
        <v>569</v>
      </c>
      <c r="AA533" t="s">
        <v>1229</v>
      </c>
      <c r="AB533">
        <v>50</v>
      </c>
      <c r="AC53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4" spans="1:29" x14ac:dyDescent="0.25">
      <c r="A534" t="s">
        <v>747</v>
      </c>
      <c r="B534" t="s">
        <v>557</v>
      </c>
      <c r="C534" t="s">
        <v>504</v>
      </c>
      <c r="D534" t="s">
        <v>501</v>
      </c>
      <c r="E534" t="s">
        <v>502</v>
      </c>
      <c r="F534" t="s">
        <v>569</v>
      </c>
      <c r="G534" t="s">
        <v>569</v>
      </c>
      <c r="H534" t="s">
        <v>569</v>
      </c>
      <c r="I534" t="s">
        <v>569</v>
      </c>
      <c r="J534" t="s">
        <v>569</v>
      </c>
      <c r="K534">
        <v>0</v>
      </c>
      <c r="L534" t="s">
        <v>569</v>
      </c>
      <c r="M534" t="s">
        <v>569</v>
      </c>
      <c r="N534" t="s">
        <v>569</v>
      </c>
      <c r="O534" t="s">
        <v>569</v>
      </c>
      <c r="P534" t="s">
        <v>569</v>
      </c>
      <c r="Q534" t="s">
        <v>569</v>
      </c>
      <c r="R534">
        <v>49.835934219999999</v>
      </c>
      <c r="S534" t="s">
        <v>1213</v>
      </c>
      <c r="T534">
        <v>-124.5303941</v>
      </c>
      <c r="U534" t="s">
        <v>1206</v>
      </c>
      <c r="V534" t="s">
        <v>569</v>
      </c>
      <c r="W534" t="s">
        <v>569</v>
      </c>
      <c r="X534" t="s">
        <v>569</v>
      </c>
      <c r="Y534" t="s">
        <v>569</v>
      </c>
      <c r="Z534" s="9">
        <v>0</v>
      </c>
      <c r="AA534" t="s">
        <v>1229</v>
      </c>
      <c r="AB534">
        <v>50</v>
      </c>
      <c r="AC5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5" spans="1:29" x14ac:dyDescent="0.25">
      <c r="A535" t="s">
        <v>920</v>
      </c>
      <c r="B535" t="s">
        <v>500</v>
      </c>
      <c r="C535" t="s">
        <v>504</v>
      </c>
      <c r="D535" t="s">
        <v>501</v>
      </c>
      <c r="E535" t="s">
        <v>502</v>
      </c>
      <c r="F535" t="s">
        <v>569</v>
      </c>
      <c r="G535" t="s">
        <v>569</v>
      </c>
      <c r="H535" t="s">
        <v>569</v>
      </c>
      <c r="I535" t="s">
        <v>569</v>
      </c>
      <c r="J535" t="s">
        <v>569</v>
      </c>
      <c r="K535">
        <v>0</v>
      </c>
      <c r="L535" t="s">
        <v>569</v>
      </c>
      <c r="M535" t="s">
        <v>569</v>
      </c>
      <c r="N535" t="s">
        <v>569</v>
      </c>
      <c r="O535" t="s">
        <v>569</v>
      </c>
      <c r="P535" t="s">
        <v>569</v>
      </c>
      <c r="Q535" t="s">
        <v>569</v>
      </c>
      <c r="R535">
        <v>49.229768409999998</v>
      </c>
      <c r="S535" t="s">
        <v>1213</v>
      </c>
      <c r="T535">
        <v>-122.3559487</v>
      </c>
      <c r="U535" t="s">
        <v>1206</v>
      </c>
      <c r="V535" t="s">
        <v>569</v>
      </c>
      <c r="W535" t="s">
        <v>569</v>
      </c>
      <c r="X535" t="s">
        <v>569</v>
      </c>
      <c r="Y535" t="s">
        <v>569</v>
      </c>
      <c r="Z535" t="s">
        <v>569</v>
      </c>
      <c r="AA535" t="s">
        <v>1229</v>
      </c>
      <c r="AB535">
        <v>50</v>
      </c>
      <c r="AC5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6" spans="1:29" x14ac:dyDescent="0.25">
      <c r="A536" t="s">
        <v>1412</v>
      </c>
      <c r="B536" t="s">
        <v>505</v>
      </c>
      <c r="C536" t="s">
        <v>504</v>
      </c>
      <c r="D536" t="s">
        <v>501</v>
      </c>
      <c r="E536" t="s">
        <v>502</v>
      </c>
      <c r="F536" t="s">
        <v>569</v>
      </c>
      <c r="G536" t="s">
        <v>569</v>
      </c>
      <c r="H536" t="s">
        <v>569</v>
      </c>
      <c r="I536" t="s">
        <v>569</v>
      </c>
      <c r="J536" t="s">
        <v>569</v>
      </c>
      <c r="K536" t="s">
        <v>569</v>
      </c>
      <c r="L536" t="s">
        <v>569</v>
      </c>
      <c r="M536" t="s">
        <v>569</v>
      </c>
      <c r="N536" t="s">
        <v>569</v>
      </c>
      <c r="O536" t="s">
        <v>569</v>
      </c>
      <c r="P536" t="s">
        <v>569</v>
      </c>
      <c r="Q536" t="s">
        <v>569</v>
      </c>
      <c r="R536" t="s">
        <v>569</v>
      </c>
      <c r="S536" t="s">
        <v>569</v>
      </c>
      <c r="T536" t="s">
        <v>569</v>
      </c>
      <c r="U536" t="s">
        <v>569</v>
      </c>
      <c r="V536" t="s">
        <v>569</v>
      </c>
      <c r="W536" t="s">
        <v>569</v>
      </c>
      <c r="X536" t="s">
        <v>569</v>
      </c>
      <c r="Y536" t="s">
        <v>569</v>
      </c>
      <c r="Z536" t="s">
        <v>569</v>
      </c>
      <c r="AA536" t="s">
        <v>569</v>
      </c>
      <c r="AB536">
        <v>50</v>
      </c>
      <c r="AC536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7" spans="1:29" x14ac:dyDescent="0.25">
      <c r="A537" t="s">
        <v>775</v>
      </c>
      <c r="B537" t="s">
        <v>755</v>
      </c>
      <c r="C537" t="s">
        <v>755</v>
      </c>
      <c r="D537" t="s">
        <v>756</v>
      </c>
      <c r="E537" t="s">
        <v>757</v>
      </c>
      <c r="F537" t="s">
        <v>569</v>
      </c>
      <c r="G537" t="s">
        <v>569</v>
      </c>
      <c r="H537" t="s">
        <v>569</v>
      </c>
      <c r="I537" t="s">
        <v>569</v>
      </c>
      <c r="J537" t="s">
        <v>569</v>
      </c>
      <c r="K537">
        <v>0</v>
      </c>
      <c r="L537" t="s">
        <v>569</v>
      </c>
      <c r="M537" t="s">
        <v>569</v>
      </c>
      <c r="N537" t="s">
        <v>569</v>
      </c>
      <c r="O537" t="s">
        <v>569</v>
      </c>
      <c r="P537" t="s">
        <v>569</v>
      </c>
      <c r="Q537" t="s">
        <v>569</v>
      </c>
      <c r="R537">
        <v>13.37419813</v>
      </c>
      <c r="S537" t="s">
        <v>1213</v>
      </c>
      <c r="T537">
        <v>103.8393939</v>
      </c>
      <c r="U537" t="s">
        <v>1201</v>
      </c>
      <c r="V537" t="s">
        <v>569</v>
      </c>
      <c r="W537" t="s">
        <v>569</v>
      </c>
      <c r="X537" t="s">
        <v>569</v>
      </c>
      <c r="Y537" t="s">
        <v>569</v>
      </c>
      <c r="Z537" t="s">
        <v>569</v>
      </c>
      <c r="AA537" t="s">
        <v>1229</v>
      </c>
      <c r="AB537">
        <v>50</v>
      </c>
      <c r="AC5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8" spans="1:29" x14ac:dyDescent="0.25">
      <c r="A538" t="s">
        <v>1298</v>
      </c>
      <c r="B538" t="s">
        <v>557</v>
      </c>
      <c r="C538" t="s">
        <v>504</v>
      </c>
      <c r="D538" t="s">
        <v>501</v>
      </c>
      <c r="E538" t="s">
        <v>502</v>
      </c>
      <c r="F538" t="s">
        <v>569</v>
      </c>
      <c r="G538" t="s">
        <v>569</v>
      </c>
      <c r="H538" t="s">
        <v>569</v>
      </c>
      <c r="I538" t="s">
        <v>569</v>
      </c>
      <c r="J538" t="s">
        <v>569</v>
      </c>
      <c r="K538" t="s">
        <v>569</v>
      </c>
      <c r="L538" t="s">
        <v>569</v>
      </c>
      <c r="M538" t="s">
        <v>569</v>
      </c>
      <c r="N538" t="s">
        <v>569</v>
      </c>
      <c r="O538" t="s">
        <v>569</v>
      </c>
      <c r="P538" t="s">
        <v>569</v>
      </c>
      <c r="Q538" t="s">
        <v>569</v>
      </c>
      <c r="R538">
        <v>49.847035672823303</v>
      </c>
      <c r="S538" t="s">
        <v>1213</v>
      </c>
      <c r="T538">
        <v>-124.529175661992</v>
      </c>
      <c r="U538" t="s">
        <v>1206</v>
      </c>
      <c r="V538" t="s">
        <v>569</v>
      </c>
      <c r="W538" t="s">
        <v>569</v>
      </c>
      <c r="X538" t="s">
        <v>569</v>
      </c>
      <c r="Y538" t="s">
        <v>569</v>
      </c>
      <c r="Z538" t="s">
        <v>569</v>
      </c>
      <c r="AA538" t="s">
        <v>569</v>
      </c>
      <c r="AB538">
        <v>50</v>
      </c>
      <c r="AC53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39" spans="1:29" x14ac:dyDescent="0.25">
      <c r="A539" t="s">
        <v>1397</v>
      </c>
      <c r="B539" t="s">
        <v>513</v>
      </c>
      <c r="C539" t="s">
        <v>504</v>
      </c>
      <c r="D539" t="s">
        <v>501</v>
      </c>
      <c r="E539" t="s">
        <v>502</v>
      </c>
      <c r="F539" t="s">
        <v>569</v>
      </c>
      <c r="G539" t="s">
        <v>569</v>
      </c>
      <c r="H539" t="s">
        <v>569</v>
      </c>
      <c r="I539" t="s">
        <v>569</v>
      </c>
      <c r="J539" t="s">
        <v>569</v>
      </c>
      <c r="K539" t="s">
        <v>569</v>
      </c>
      <c r="L539" t="s">
        <v>569</v>
      </c>
      <c r="M539" t="s">
        <v>569</v>
      </c>
      <c r="N539" t="s">
        <v>569</v>
      </c>
      <c r="O539" t="s">
        <v>569</v>
      </c>
      <c r="P539" t="s">
        <v>569</v>
      </c>
      <c r="Q539" t="s">
        <v>569</v>
      </c>
      <c r="R539" t="s">
        <v>569</v>
      </c>
      <c r="S539" t="s">
        <v>569</v>
      </c>
      <c r="T539" t="s">
        <v>569</v>
      </c>
      <c r="U539" t="s">
        <v>569</v>
      </c>
      <c r="V539" t="s">
        <v>569</v>
      </c>
      <c r="W539" t="s">
        <v>569</v>
      </c>
      <c r="X539" t="s">
        <v>569</v>
      </c>
      <c r="Y539" t="s">
        <v>569</v>
      </c>
      <c r="Z539" t="s">
        <v>569</v>
      </c>
      <c r="AA539" t="s">
        <v>569</v>
      </c>
      <c r="AB539">
        <v>50</v>
      </c>
      <c r="AC53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0" spans="1:29" x14ac:dyDescent="0.25">
      <c r="A540" t="s">
        <v>574</v>
      </c>
      <c r="B540" t="s">
        <v>505</v>
      </c>
      <c r="C540" t="s">
        <v>504</v>
      </c>
      <c r="D540" t="s">
        <v>501</v>
      </c>
      <c r="E540" t="s">
        <v>502</v>
      </c>
      <c r="F540" t="s">
        <v>569</v>
      </c>
      <c r="G540" t="s">
        <v>569</v>
      </c>
      <c r="H540" t="s">
        <v>569</v>
      </c>
      <c r="I540" t="s">
        <v>569</v>
      </c>
      <c r="J540" t="s">
        <v>569</v>
      </c>
      <c r="K540">
        <v>0</v>
      </c>
      <c r="L540" t="s">
        <v>569</v>
      </c>
      <c r="M540" t="s">
        <v>569</v>
      </c>
      <c r="N540" t="s">
        <v>569</v>
      </c>
      <c r="O540" t="s">
        <v>569</v>
      </c>
      <c r="P540" t="s">
        <v>569</v>
      </c>
      <c r="Q540" t="s">
        <v>569</v>
      </c>
      <c r="R540">
        <v>48.496360099999997</v>
      </c>
      <c r="S540" t="s">
        <v>1213</v>
      </c>
      <c r="T540">
        <v>-123.4022999</v>
      </c>
      <c r="U540" t="s">
        <v>1206</v>
      </c>
      <c r="V540" t="s">
        <v>569</v>
      </c>
      <c r="W540" t="s">
        <v>569</v>
      </c>
      <c r="X540" t="s">
        <v>569</v>
      </c>
      <c r="Y540" t="s">
        <v>569</v>
      </c>
      <c r="Z540" t="s">
        <v>569</v>
      </c>
      <c r="AA540" t="s">
        <v>1229</v>
      </c>
      <c r="AB540">
        <v>50</v>
      </c>
      <c r="AC54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1" spans="1:29" x14ac:dyDescent="0.25">
      <c r="A541" t="s">
        <v>858</v>
      </c>
      <c r="B541" t="s">
        <v>505</v>
      </c>
      <c r="C541" t="s">
        <v>504</v>
      </c>
      <c r="D541" t="s">
        <v>501</v>
      </c>
      <c r="E541" t="s">
        <v>502</v>
      </c>
      <c r="F541" t="s">
        <v>569</v>
      </c>
      <c r="G541" t="s">
        <v>569</v>
      </c>
      <c r="H541" t="s">
        <v>569</v>
      </c>
      <c r="I541" t="s">
        <v>569</v>
      </c>
      <c r="J541" t="s">
        <v>569</v>
      </c>
      <c r="K541">
        <v>0</v>
      </c>
      <c r="L541" t="s">
        <v>569</v>
      </c>
      <c r="M541" t="s">
        <v>569</v>
      </c>
      <c r="N541" t="s">
        <v>569</v>
      </c>
      <c r="O541" t="s">
        <v>569</v>
      </c>
      <c r="P541" t="s">
        <v>569</v>
      </c>
      <c r="Q541" t="s">
        <v>569</v>
      </c>
      <c r="R541">
        <v>48.42957431</v>
      </c>
      <c r="S541" t="s">
        <v>1213</v>
      </c>
      <c r="T541">
        <v>-123.36679820000001</v>
      </c>
      <c r="U541" t="s">
        <v>1206</v>
      </c>
      <c r="V541" t="s">
        <v>569</v>
      </c>
      <c r="W541" t="s">
        <v>569</v>
      </c>
      <c r="X541" t="s">
        <v>569</v>
      </c>
      <c r="Y541" t="s">
        <v>569</v>
      </c>
      <c r="Z541" t="s">
        <v>569</v>
      </c>
      <c r="AA541" t="s">
        <v>1229</v>
      </c>
      <c r="AB541">
        <v>50</v>
      </c>
      <c r="AC54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2" spans="1:29" x14ac:dyDescent="0.25">
      <c r="A542" t="s">
        <v>743</v>
      </c>
      <c r="B542" t="s">
        <v>726</v>
      </c>
      <c r="C542" t="s">
        <v>728</v>
      </c>
      <c r="D542" t="s">
        <v>652</v>
      </c>
      <c r="E542" t="s">
        <v>653</v>
      </c>
      <c r="F542" t="s">
        <v>569</v>
      </c>
      <c r="G542" t="s">
        <v>569</v>
      </c>
      <c r="H542" t="s">
        <v>569</v>
      </c>
      <c r="I542" t="s">
        <v>569</v>
      </c>
      <c r="J542" t="s">
        <v>569</v>
      </c>
      <c r="K542">
        <v>0</v>
      </c>
      <c r="L542" t="s">
        <v>569</v>
      </c>
      <c r="M542" t="s">
        <v>569</v>
      </c>
      <c r="N542" t="s">
        <v>569</v>
      </c>
      <c r="O542" t="s">
        <v>569</v>
      </c>
      <c r="P542" t="s">
        <v>569</v>
      </c>
      <c r="Q542" t="s">
        <v>569</v>
      </c>
      <c r="R542">
        <v>47.608850269999998</v>
      </c>
      <c r="S542" t="s">
        <v>1213</v>
      </c>
      <c r="T542">
        <v>-122.3343623</v>
      </c>
      <c r="U542" t="s">
        <v>1206</v>
      </c>
      <c r="V542" t="s">
        <v>569</v>
      </c>
      <c r="W542" t="s">
        <v>569</v>
      </c>
      <c r="X542" t="s">
        <v>569</v>
      </c>
      <c r="Y542" t="s">
        <v>569</v>
      </c>
      <c r="Z542" s="9">
        <v>0</v>
      </c>
      <c r="AA542" t="s">
        <v>1229</v>
      </c>
      <c r="AB542">
        <v>50</v>
      </c>
      <c r="AC54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3" spans="1:29" x14ac:dyDescent="0.25">
      <c r="A543" t="s">
        <v>644</v>
      </c>
      <c r="B543" t="s">
        <v>545</v>
      </c>
      <c r="C543" t="s">
        <v>504</v>
      </c>
      <c r="D543" t="s">
        <v>501</v>
      </c>
      <c r="E543" t="s">
        <v>502</v>
      </c>
      <c r="F543" t="s">
        <v>569</v>
      </c>
      <c r="G543" t="s">
        <v>569</v>
      </c>
      <c r="H543" t="s">
        <v>569</v>
      </c>
      <c r="I543" t="s">
        <v>569</v>
      </c>
      <c r="J543" t="s">
        <v>569</v>
      </c>
      <c r="K543">
        <v>0</v>
      </c>
      <c r="L543" t="s">
        <v>569</v>
      </c>
      <c r="M543" t="s">
        <v>569</v>
      </c>
      <c r="N543" t="s">
        <v>569</v>
      </c>
      <c r="O543" t="s">
        <v>569</v>
      </c>
      <c r="P543" t="s">
        <v>569</v>
      </c>
      <c r="Q543" t="s">
        <v>569</v>
      </c>
      <c r="R543">
        <v>49.315387200000004</v>
      </c>
      <c r="S543" t="s">
        <v>1213</v>
      </c>
      <c r="T543">
        <v>-124.2545128</v>
      </c>
      <c r="U543" t="s">
        <v>1206</v>
      </c>
      <c r="V543" t="s">
        <v>569</v>
      </c>
      <c r="W543" t="s">
        <v>569</v>
      </c>
      <c r="X543" t="s">
        <v>569</v>
      </c>
      <c r="Y543" t="s">
        <v>569</v>
      </c>
      <c r="Z543" t="s">
        <v>569</v>
      </c>
      <c r="AA543" t="s">
        <v>1229</v>
      </c>
      <c r="AB543">
        <v>50</v>
      </c>
      <c r="AC54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4" spans="1:29" x14ac:dyDescent="0.25">
      <c r="A544" t="s">
        <v>1347</v>
      </c>
      <c r="B544" t="s">
        <v>835</v>
      </c>
      <c r="C544" t="s">
        <v>504</v>
      </c>
      <c r="D544" t="s">
        <v>501</v>
      </c>
      <c r="E544" t="s">
        <v>502</v>
      </c>
      <c r="F544" t="s">
        <v>569</v>
      </c>
      <c r="G544" t="s">
        <v>569</v>
      </c>
      <c r="H544" t="s">
        <v>569</v>
      </c>
      <c r="I544" t="s">
        <v>569</v>
      </c>
      <c r="J544" t="s">
        <v>569</v>
      </c>
      <c r="K544" t="s">
        <v>569</v>
      </c>
      <c r="L544" t="s">
        <v>569</v>
      </c>
      <c r="M544" t="s">
        <v>569</v>
      </c>
      <c r="N544" t="s">
        <v>569</v>
      </c>
      <c r="O544" t="s">
        <v>569</v>
      </c>
      <c r="P544" t="s">
        <v>569</v>
      </c>
      <c r="Q544" t="s">
        <v>569</v>
      </c>
      <c r="R544" t="s">
        <v>569</v>
      </c>
      <c r="S544" t="s">
        <v>569</v>
      </c>
      <c r="T544" t="s">
        <v>569</v>
      </c>
      <c r="U544" t="s">
        <v>569</v>
      </c>
      <c r="V544" t="s">
        <v>569</v>
      </c>
      <c r="W544" t="s">
        <v>569</v>
      </c>
      <c r="X544" t="s">
        <v>569</v>
      </c>
      <c r="Y544" t="s">
        <v>569</v>
      </c>
      <c r="Z544" t="s">
        <v>569</v>
      </c>
      <c r="AA544" t="s">
        <v>569</v>
      </c>
      <c r="AB544">
        <v>50</v>
      </c>
      <c r="AC54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5" spans="1:29" x14ac:dyDescent="0.25">
      <c r="A545" t="s">
        <v>802</v>
      </c>
      <c r="B545" t="s">
        <v>794</v>
      </c>
      <c r="C545" t="s">
        <v>794</v>
      </c>
      <c r="D545" t="s">
        <v>795</v>
      </c>
      <c r="E545" t="s">
        <v>796</v>
      </c>
      <c r="F545" t="s">
        <v>569</v>
      </c>
      <c r="G545" t="s">
        <v>569</v>
      </c>
      <c r="H545" t="s">
        <v>569</v>
      </c>
      <c r="I545" t="s">
        <v>569</v>
      </c>
      <c r="J545" t="s">
        <v>569</v>
      </c>
      <c r="K545">
        <v>0</v>
      </c>
      <c r="L545" t="s">
        <v>569</v>
      </c>
      <c r="M545" t="s">
        <v>569</v>
      </c>
      <c r="N545" t="s">
        <v>569</v>
      </c>
      <c r="O545" t="s">
        <v>569</v>
      </c>
      <c r="P545" t="s">
        <v>569</v>
      </c>
      <c r="Q545" t="s">
        <v>569</v>
      </c>
      <c r="R545">
        <v>10.77791509</v>
      </c>
      <c r="S545" t="s">
        <v>1213</v>
      </c>
      <c r="T545">
        <v>106.6950989</v>
      </c>
      <c r="U545" t="s">
        <v>1201</v>
      </c>
      <c r="V545" t="s">
        <v>569</v>
      </c>
      <c r="W545" t="s">
        <v>569</v>
      </c>
      <c r="X545" t="s">
        <v>569</v>
      </c>
      <c r="Y545" t="s">
        <v>569</v>
      </c>
      <c r="Z545" t="s">
        <v>569</v>
      </c>
      <c r="AA545" t="s">
        <v>1229</v>
      </c>
      <c r="AB545">
        <v>50</v>
      </c>
      <c r="AC54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6" spans="1:29" x14ac:dyDescent="0.25">
      <c r="A546" t="s">
        <v>997</v>
      </c>
      <c r="B546" t="s">
        <v>675</v>
      </c>
      <c r="C546" t="s">
        <v>677</v>
      </c>
      <c r="D546" t="s">
        <v>522</v>
      </c>
      <c r="E546" t="s">
        <v>523</v>
      </c>
      <c r="F546" t="s">
        <v>569</v>
      </c>
      <c r="G546" t="s">
        <v>569</v>
      </c>
      <c r="H546" t="s">
        <v>569</v>
      </c>
      <c r="I546" t="s">
        <v>569</v>
      </c>
      <c r="J546" t="s">
        <v>569</v>
      </c>
      <c r="K546">
        <v>0</v>
      </c>
      <c r="L546" t="s">
        <v>569</v>
      </c>
      <c r="M546" t="s">
        <v>569</v>
      </c>
      <c r="N546" t="s">
        <v>569</v>
      </c>
      <c r="O546" t="s">
        <v>569</v>
      </c>
      <c r="P546" t="s">
        <v>569</v>
      </c>
      <c r="Q546" t="s">
        <v>569</v>
      </c>
      <c r="R546">
        <v>-31.390451649999999</v>
      </c>
      <c r="S546" t="s">
        <v>1111</v>
      </c>
      <c r="T546">
        <v>152.82887729999999</v>
      </c>
      <c r="U546" t="s">
        <v>1201</v>
      </c>
      <c r="V546" t="s">
        <v>569</v>
      </c>
      <c r="W546" t="s">
        <v>569</v>
      </c>
      <c r="X546" t="s">
        <v>569</v>
      </c>
      <c r="Y546" t="s">
        <v>569</v>
      </c>
      <c r="Z546" s="9">
        <v>0</v>
      </c>
      <c r="AA546" t="s">
        <v>1229</v>
      </c>
      <c r="AB546">
        <v>50</v>
      </c>
      <c r="AC54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7" spans="1:29" x14ac:dyDescent="0.25">
      <c r="A547" t="s">
        <v>1241</v>
      </c>
      <c r="B547" t="s">
        <v>1005</v>
      </c>
      <c r="C547" t="s">
        <v>1235</v>
      </c>
      <c r="D547" t="s">
        <v>1006</v>
      </c>
      <c r="E547" t="s">
        <v>1236</v>
      </c>
      <c r="F547" t="s">
        <v>569</v>
      </c>
      <c r="G547" t="s">
        <v>569</v>
      </c>
      <c r="H547" t="s">
        <v>569</v>
      </c>
      <c r="I547" t="s">
        <v>569</v>
      </c>
      <c r="J547" t="s">
        <v>569</v>
      </c>
      <c r="K547" t="s">
        <v>569</v>
      </c>
      <c r="L547" t="s">
        <v>569</v>
      </c>
      <c r="M547" t="s">
        <v>569</v>
      </c>
      <c r="N547" t="s">
        <v>569</v>
      </c>
      <c r="O547" t="s">
        <v>569</v>
      </c>
      <c r="P547" t="s">
        <v>569</v>
      </c>
      <c r="Q547" t="s">
        <v>569</v>
      </c>
      <c r="R547">
        <v>51.45293547</v>
      </c>
      <c r="S547" t="s">
        <v>1213</v>
      </c>
      <c r="T547">
        <v>-0.29912968699999998</v>
      </c>
      <c r="U547" t="s">
        <v>1206</v>
      </c>
      <c r="V547" t="s">
        <v>569</v>
      </c>
      <c r="W547" t="s">
        <v>569</v>
      </c>
      <c r="X547" t="s">
        <v>569</v>
      </c>
      <c r="Y547" t="s">
        <v>569</v>
      </c>
      <c r="Z547" t="s">
        <v>569</v>
      </c>
      <c r="AA547" t="s">
        <v>1230</v>
      </c>
      <c r="AB547">
        <v>50</v>
      </c>
      <c r="AC54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8" spans="1:29" x14ac:dyDescent="0.25">
      <c r="A548" t="s">
        <v>1242</v>
      </c>
      <c r="B548" t="s">
        <v>1005</v>
      </c>
      <c r="C548" t="s">
        <v>1235</v>
      </c>
      <c r="D548" t="s">
        <v>1006</v>
      </c>
      <c r="E548" t="s">
        <v>1236</v>
      </c>
      <c r="F548" t="s">
        <v>569</v>
      </c>
      <c r="G548" t="s">
        <v>569</v>
      </c>
      <c r="H548" t="s">
        <v>569</v>
      </c>
      <c r="I548" t="s">
        <v>569</v>
      </c>
      <c r="J548" t="s">
        <v>569</v>
      </c>
      <c r="K548" t="s">
        <v>569</v>
      </c>
      <c r="L548" t="s">
        <v>569</v>
      </c>
      <c r="M548" t="s">
        <v>569</v>
      </c>
      <c r="N548" t="s">
        <v>569</v>
      </c>
      <c r="O548" t="s">
        <v>569</v>
      </c>
      <c r="P548" t="s">
        <v>569</v>
      </c>
      <c r="Q548" t="s">
        <v>569</v>
      </c>
      <c r="R548">
        <v>51.441133739999998</v>
      </c>
      <c r="S548" t="s">
        <v>1213</v>
      </c>
      <c r="T548">
        <v>-0.27430297999999997</v>
      </c>
      <c r="U548" t="s">
        <v>1206</v>
      </c>
      <c r="V548" t="s">
        <v>569</v>
      </c>
      <c r="W548" t="s">
        <v>569</v>
      </c>
      <c r="X548" t="s">
        <v>569</v>
      </c>
      <c r="Y548" t="s">
        <v>569</v>
      </c>
      <c r="Z548" t="s">
        <v>569</v>
      </c>
      <c r="AA548" t="s">
        <v>1230</v>
      </c>
      <c r="AB548">
        <v>50</v>
      </c>
      <c r="AC5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49" spans="1:29" x14ac:dyDescent="0.25">
      <c r="A549" t="s">
        <v>639</v>
      </c>
      <c r="B549" t="s">
        <v>545</v>
      </c>
      <c r="C549" t="s">
        <v>504</v>
      </c>
      <c r="D549" t="s">
        <v>501</v>
      </c>
      <c r="E549" t="s">
        <v>502</v>
      </c>
      <c r="F549" t="s">
        <v>569</v>
      </c>
      <c r="G549" t="s">
        <v>569</v>
      </c>
      <c r="H549" t="s">
        <v>569</v>
      </c>
      <c r="I549" t="s">
        <v>569</v>
      </c>
      <c r="J549" t="s">
        <v>569</v>
      </c>
      <c r="K549">
        <v>0</v>
      </c>
      <c r="L549" t="s">
        <v>569</v>
      </c>
      <c r="M549" t="s">
        <v>569</v>
      </c>
      <c r="N549" t="s">
        <v>569</v>
      </c>
      <c r="O549" t="s">
        <v>569</v>
      </c>
      <c r="P549" t="s">
        <v>569</v>
      </c>
      <c r="Q549" t="s">
        <v>569</v>
      </c>
      <c r="R549">
        <v>48.567431630000002</v>
      </c>
      <c r="S549" t="s">
        <v>1213</v>
      </c>
      <c r="T549">
        <v>-123.5468602</v>
      </c>
      <c r="U549" t="s">
        <v>1206</v>
      </c>
      <c r="V549" t="s">
        <v>569</v>
      </c>
      <c r="W549" t="s">
        <v>569</v>
      </c>
      <c r="X549" t="s">
        <v>569</v>
      </c>
      <c r="Y549" t="s">
        <v>569</v>
      </c>
      <c r="Z549" t="s">
        <v>569</v>
      </c>
      <c r="AA549" t="s">
        <v>1229</v>
      </c>
      <c r="AB549">
        <v>50</v>
      </c>
      <c r="AC5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0" spans="1:29" x14ac:dyDescent="0.25">
      <c r="A550" t="s">
        <v>1392</v>
      </c>
      <c r="B550" t="s">
        <v>513</v>
      </c>
      <c r="C550" t="s">
        <v>504</v>
      </c>
      <c r="D550" t="s">
        <v>501</v>
      </c>
      <c r="E550" t="s">
        <v>502</v>
      </c>
      <c r="F550" t="s">
        <v>569</v>
      </c>
      <c r="G550" t="s">
        <v>569</v>
      </c>
      <c r="H550" t="s">
        <v>569</v>
      </c>
      <c r="I550" t="s">
        <v>569</v>
      </c>
      <c r="J550" t="s">
        <v>569</v>
      </c>
      <c r="K550" t="s">
        <v>569</v>
      </c>
      <c r="L550" t="s">
        <v>569</v>
      </c>
      <c r="M550" t="s">
        <v>569</v>
      </c>
      <c r="N550" t="s">
        <v>569</v>
      </c>
      <c r="O550" t="s">
        <v>569</v>
      </c>
      <c r="P550" t="s">
        <v>569</v>
      </c>
      <c r="Q550" t="s">
        <v>569</v>
      </c>
      <c r="R550" t="s">
        <v>569</v>
      </c>
      <c r="S550" t="s">
        <v>569</v>
      </c>
      <c r="T550" t="s">
        <v>569</v>
      </c>
      <c r="U550" t="s">
        <v>569</v>
      </c>
      <c r="V550" t="s">
        <v>569</v>
      </c>
      <c r="W550" t="s">
        <v>569</v>
      </c>
      <c r="X550" t="s">
        <v>569</v>
      </c>
      <c r="Y550" t="s">
        <v>569</v>
      </c>
      <c r="Z550" t="s">
        <v>569</v>
      </c>
      <c r="AA550" t="s">
        <v>569</v>
      </c>
      <c r="AB550">
        <v>50</v>
      </c>
      <c r="AC55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1" spans="1:29" x14ac:dyDescent="0.25">
      <c r="A551" t="s">
        <v>1243</v>
      </c>
      <c r="B551" t="s">
        <v>1005</v>
      </c>
      <c r="C551" t="s">
        <v>1235</v>
      </c>
      <c r="D551" t="s">
        <v>1006</v>
      </c>
      <c r="E551" t="s">
        <v>1236</v>
      </c>
      <c r="F551" t="s">
        <v>569</v>
      </c>
      <c r="G551" t="s">
        <v>569</v>
      </c>
      <c r="H551" t="s">
        <v>569</v>
      </c>
      <c r="I551" t="s">
        <v>569</v>
      </c>
      <c r="J551" t="s">
        <v>569</v>
      </c>
      <c r="K551" t="s">
        <v>569</v>
      </c>
      <c r="L551" t="s">
        <v>569</v>
      </c>
      <c r="M551" t="s">
        <v>569</v>
      </c>
      <c r="N551" t="s">
        <v>569</v>
      </c>
      <c r="O551" t="s">
        <v>569</v>
      </c>
      <c r="P551" t="s">
        <v>569</v>
      </c>
      <c r="Q551" t="s">
        <v>569</v>
      </c>
      <c r="R551">
        <v>51.461340810000003</v>
      </c>
      <c r="S551" t="s">
        <v>1213</v>
      </c>
      <c r="T551">
        <v>-0.247837745</v>
      </c>
      <c r="U551" t="s">
        <v>1206</v>
      </c>
      <c r="V551" t="s">
        <v>569</v>
      </c>
      <c r="W551" t="s">
        <v>569</v>
      </c>
      <c r="X551" t="s">
        <v>569</v>
      </c>
      <c r="Y551" t="s">
        <v>569</v>
      </c>
      <c r="Z551" t="s">
        <v>569</v>
      </c>
      <c r="AA551" t="s">
        <v>1230</v>
      </c>
      <c r="AB551">
        <v>50</v>
      </c>
      <c r="AC55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2" spans="1:29" x14ac:dyDescent="0.25">
      <c r="A552" t="s">
        <v>763</v>
      </c>
      <c r="B552" t="s">
        <v>513</v>
      </c>
      <c r="C552" t="s">
        <v>504</v>
      </c>
      <c r="D552" t="s">
        <v>501</v>
      </c>
      <c r="E552" t="s">
        <v>502</v>
      </c>
      <c r="F552" t="s">
        <v>569</v>
      </c>
      <c r="G552" t="s">
        <v>569</v>
      </c>
      <c r="H552" t="s">
        <v>569</v>
      </c>
      <c r="I552" t="s">
        <v>569</v>
      </c>
      <c r="J552" t="s">
        <v>569</v>
      </c>
      <c r="K552">
        <v>0</v>
      </c>
      <c r="L552" t="s">
        <v>569</v>
      </c>
      <c r="M552" t="s">
        <v>569</v>
      </c>
      <c r="N552" t="s">
        <v>569</v>
      </c>
      <c r="O552" t="s">
        <v>569</v>
      </c>
      <c r="P552" t="s">
        <v>569</v>
      </c>
      <c r="Q552" t="s">
        <v>569</v>
      </c>
      <c r="R552">
        <v>49.277853210000004</v>
      </c>
      <c r="S552" t="s">
        <v>1213</v>
      </c>
      <c r="T552">
        <v>-123.1087643</v>
      </c>
      <c r="U552" t="s">
        <v>1206</v>
      </c>
      <c r="V552" t="s">
        <v>569</v>
      </c>
      <c r="W552" t="s">
        <v>569</v>
      </c>
      <c r="X552" t="s">
        <v>569</v>
      </c>
      <c r="Y552" t="s">
        <v>569</v>
      </c>
      <c r="Z552" t="s">
        <v>569</v>
      </c>
      <c r="AA552" t="s">
        <v>1229</v>
      </c>
      <c r="AB552">
        <v>50</v>
      </c>
      <c r="AC55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3" spans="1:29" x14ac:dyDescent="0.25">
      <c r="A553" t="s">
        <v>553</v>
      </c>
      <c r="B553" t="s">
        <v>552</v>
      </c>
      <c r="C553" t="s">
        <v>504</v>
      </c>
      <c r="D553" t="s">
        <v>501</v>
      </c>
      <c r="E553" t="s">
        <v>502</v>
      </c>
      <c r="F553" t="s">
        <v>569</v>
      </c>
      <c r="G553" t="s">
        <v>569</v>
      </c>
      <c r="H553" t="s">
        <v>569</v>
      </c>
      <c r="I553" t="s">
        <v>569</v>
      </c>
      <c r="J553" t="s">
        <v>569</v>
      </c>
      <c r="K553">
        <v>0</v>
      </c>
      <c r="L553" t="s">
        <v>569</v>
      </c>
      <c r="M553" t="s">
        <v>569</v>
      </c>
      <c r="N553" t="s">
        <v>569</v>
      </c>
      <c r="O553" t="s">
        <v>569</v>
      </c>
      <c r="P553" t="s">
        <v>569</v>
      </c>
      <c r="Q553" t="s">
        <v>569</v>
      </c>
      <c r="R553">
        <v>48.832485310000003</v>
      </c>
      <c r="S553" t="s">
        <v>1213</v>
      </c>
      <c r="T553">
        <v>-124.12558439999999</v>
      </c>
      <c r="U553" t="s">
        <v>1206</v>
      </c>
      <c r="V553" t="s">
        <v>569</v>
      </c>
      <c r="W553" t="s">
        <v>569</v>
      </c>
      <c r="X553" t="s">
        <v>569</v>
      </c>
      <c r="Y553" t="s">
        <v>569</v>
      </c>
      <c r="Z553" t="s">
        <v>569</v>
      </c>
      <c r="AA553" t="s">
        <v>1229</v>
      </c>
      <c r="AB553">
        <v>50</v>
      </c>
      <c r="AC5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4" spans="1:29" x14ac:dyDescent="0.25">
      <c r="A554" t="s">
        <v>512</v>
      </c>
      <c r="B554" t="s">
        <v>505</v>
      </c>
      <c r="C554" t="s">
        <v>504</v>
      </c>
      <c r="D554" t="s">
        <v>501</v>
      </c>
      <c r="E554" t="s">
        <v>502</v>
      </c>
      <c r="F554" t="s">
        <v>569</v>
      </c>
      <c r="G554" t="s">
        <v>569</v>
      </c>
      <c r="H554" t="s">
        <v>569</v>
      </c>
      <c r="I554" t="s">
        <v>569</v>
      </c>
      <c r="J554" t="s">
        <v>569</v>
      </c>
      <c r="K554">
        <v>0</v>
      </c>
      <c r="L554" t="s">
        <v>569</v>
      </c>
      <c r="M554" t="s">
        <v>569</v>
      </c>
      <c r="N554" t="s">
        <v>569</v>
      </c>
      <c r="O554" t="s">
        <v>569</v>
      </c>
      <c r="P554" t="s">
        <v>569</v>
      </c>
      <c r="Q554" t="s">
        <v>569</v>
      </c>
      <c r="R554">
        <v>48.443767639999997</v>
      </c>
      <c r="S554" t="s">
        <v>1213</v>
      </c>
      <c r="T554">
        <v>-123.33651070000001</v>
      </c>
      <c r="U554" t="s">
        <v>1206</v>
      </c>
      <c r="V554" t="s">
        <v>569</v>
      </c>
      <c r="W554" t="s">
        <v>569</v>
      </c>
      <c r="X554" t="s">
        <v>569</v>
      </c>
      <c r="Y554" t="s">
        <v>569</v>
      </c>
      <c r="Z554" t="s">
        <v>569</v>
      </c>
      <c r="AA554" t="s">
        <v>1229</v>
      </c>
      <c r="AB554">
        <v>50</v>
      </c>
      <c r="AC5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5" spans="1:29" x14ac:dyDescent="0.25">
      <c r="A555" t="s">
        <v>1381</v>
      </c>
      <c r="B555" t="s">
        <v>1016</v>
      </c>
      <c r="C555" t="s">
        <v>504</v>
      </c>
      <c r="D555" t="s">
        <v>501</v>
      </c>
      <c r="E555" t="s">
        <v>502</v>
      </c>
      <c r="F555" t="s">
        <v>569</v>
      </c>
      <c r="G555" t="s">
        <v>569</v>
      </c>
      <c r="H555" t="s">
        <v>569</v>
      </c>
      <c r="I555" t="s">
        <v>569</v>
      </c>
      <c r="J555" t="s">
        <v>569</v>
      </c>
      <c r="K555" t="s">
        <v>569</v>
      </c>
      <c r="L555" t="s">
        <v>569</v>
      </c>
      <c r="M555" t="s">
        <v>569</v>
      </c>
      <c r="N555" t="s">
        <v>569</v>
      </c>
      <c r="O555" t="s">
        <v>569</v>
      </c>
      <c r="P555" t="s">
        <v>569</v>
      </c>
      <c r="Q555" t="s">
        <v>569</v>
      </c>
      <c r="R555" t="s">
        <v>569</v>
      </c>
      <c r="S555" t="s">
        <v>569</v>
      </c>
      <c r="T555" t="s">
        <v>569</v>
      </c>
      <c r="U555" t="s">
        <v>569</v>
      </c>
      <c r="V555" t="s">
        <v>569</v>
      </c>
      <c r="W555" t="s">
        <v>569</v>
      </c>
      <c r="X555" t="s">
        <v>569</v>
      </c>
      <c r="Y555" t="s">
        <v>569</v>
      </c>
      <c r="Z555" t="s">
        <v>569</v>
      </c>
      <c r="AA555" t="s">
        <v>569</v>
      </c>
      <c r="AB555">
        <v>50</v>
      </c>
      <c r="AC555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6" spans="1:29" x14ac:dyDescent="0.25">
      <c r="A556" t="s">
        <v>648</v>
      </c>
      <c r="B556" t="s">
        <v>505</v>
      </c>
      <c r="C556" t="s">
        <v>504</v>
      </c>
      <c r="D556" t="s">
        <v>501</v>
      </c>
      <c r="E556" t="s">
        <v>502</v>
      </c>
      <c r="F556" t="s">
        <v>569</v>
      </c>
      <c r="G556" t="s">
        <v>569</v>
      </c>
      <c r="H556" t="s">
        <v>569</v>
      </c>
      <c r="I556" t="s">
        <v>569</v>
      </c>
      <c r="J556" t="s">
        <v>569</v>
      </c>
      <c r="K556" t="s">
        <v>569</v>
      </c>
      <c r="L556" t="s">
        <v>569</v>
      </c>
      <c r="M556" t="s">
        <v>569</v>
      </c>
      <c r="N556" t="s">
        <v>569</v>
      </c>
      <c r="O556" t="s">
        <v>569</v>
      </c>
      <c r="P556" t="s">
        <v>569</v>
      </c>
      <c r="Q556" t="s">
        <v>569</v>
      </c>
      <c r="R556">
        <v>48.411272220000001</v>
      </c>
      <c r="S556" t="s">
        <v>1213</v>
      </c>
      <c r="T556">
        <v>-123.34005000000001</v>
      </c>
      <c r="U556" t="s">
        <v>1206</v>
      </c>
      <c r="V556" t="s">
        <v>569</v>
      </c>
      <c r="W556" t="s">
        <v>569</v>
      </c>
      <c r="X556" t="s">
        <v>569</v>
      </c>
      <c r="Y556" t="s">
        <v>569</v>
      </c>
      <c r="Z556" t="s">
        <v>569</v>
      </c>
      <c r="AA556" t="s">
        <v>1230</v>
      </c>
      <c r="AB556">
        <v>50</v>
      </c>
      <c r="AC5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7" spans="1:29" x14ac:dyDescent="0.25">
      <c r="A557" t="s">
        <v>718</v>
      </c>
      <c r="B557" t="s">
        <v>521</v>
      </c>
      <c r="C557" t="s">
        <v>525</v>
      </c>
      <c r="D557" t="s">
        <v>522</v>
      </c>
      <c r="E557" t="s">
        <v>523</v>
      </c>
      <c r="F557" t="s">
        <v>569</v>
      </c>
      <c r="G557" t="s">
        <v>569</v>
      </c>
      <c r="H557" t="s">
        <v>569</v>
      </c>
      <c r="I557" t="s">
        <v>569</v>
      </c>
      <c r="J557" t="s">
        <v>569</v>
      </c>
      <c r="K557">
        <v>0</v>
      </c>
      <c r="L557" t="s">
        <v>569</v>
      </c>
      <c r="M557" t="s">
        <v>569</v>
      </c>
      <c r="N557" t="s">
        <v>569</v>
      </c>
      <c r="O557" t="s">
        <v>569</v>
      </c>
      <c r="P557" t="s">
        <v>569</v>
      </c>
      <c r="Q557" t="s">
        <v>569</v>
      </c>
      <c r="R557">
        <v>-32.002253199999998</v>
      </c>
      <c r="S557" t="s">
        <v>1111</v>
      </c>
      <c r="T557">
        <v>115.52467350000001</v>
      </c>
      <c r="U557" t="s">
        <v>1201</v>
      </c>
      <c r="V557" t="s">
        <v>569</v>
      </c>
      <c r="W557" t="s">
        <v>569</v>
      </c>
      <c r="X557" t="s">
        <v>569</v>
      </c>
      <c r="Y557" t="s">
        <v>569</v>
      </c>
      <c r="Z557" s="9">
        <v>0</v>
      </c>
      <c r="AA557" t="s">
        <v>1229</v>
      </c>
      <c r="AB557">
        <v>50</v>
      </c>
      <c r="AC5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8" spans="1:29" x14ac:dyDescent="0.25">
      <c r="A558" t="s">
        <v>585</v>
      </c>
      <c r="B558" t="s">
        <v>505</v>
      </c>
      <c r="C558" t="s">
        <v>504</v>
      </c>
      <c r="D558" t="s">
        <v>501</v>
      </c>
      <c r="E558" t="s">
        <v>502</v>
      </c>
      <c r="F558" t="s">
        <v>569</v>
      </c>
      <c r="G558" t="s">
        <v>569</v>
      </c>
      <c r="H558" t="s">
        <v>569</v>
      </c>
      <c r="I558" t="s">
        <v>569</v>
      </c>
      <c r="J558" t="s">
        <v>569</v>
      </c>
      <c r="K558">
        <v>0</v>
      </c>
      <c r="L558" t="s">
        <v>569</v>
      </c>
      <c r="M558" t="s">
        <v>569</v>
      </c>
      <c r="N558" t="s">
        <v>569</v>
      </c>
      <c r="O558" t="s">
        <v>569</v>
      </c>
      <c r="P558" t="s">
        <v>569</v>
      </c>
      <c r="Q558" t="s">
        <v>569</v>
      </c>
      <c r="R558">
        <v>48.41985236</v>
      </c>
      <c r="S558" t="s">
        <v>1213</v>
      </c>
      <c r="T558">
        <v>-123.3675358</v>
      </c>
      <c r="U558" t="s">
        <v>1206</v>
      </c>
      <c r="V558" t="s">
        <v>569</v>
      </c>
      <c r="W558" t="s">
        <v>569</v>
      </c>
      <c r="X558" t="s">
        <v>569</v>
      </c>
      <c r="Y558" t="s">
        <v>569</v>
      </c>
      <c r="Z558" t="s">
        <v>569</v>
      </c>
      <c r="AA558" t="s">
        <v>1229</v>
      </c>
      <c r="AB558">
        <v>50</v>
      </c>
      <c r="AC5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59" spans="1:29" x14ac:dyDescent="0.25">
      <c r="A559" t="s">
        <v>983</v>
      </c>
      <c r="B559" t="s">
        <v>505</v>
      </c>
      <c r="C559" t="s">
        <v>504</v>
      </c>
      <c r="D559" t="s">
        <v>501</v>
      </c>
      <c r="E559" t="s">
        <v>502</v>
      </c>
      <c r="F559" t="s">
        <v>569</v>
      </c>
      <c r="G559" t="s">
        <v>569</v>
      </c>
      <c r="H559" t="s">
        <v>569</v>
      </c>
      <c r="I559" t="s">
        <v>569</v>
      </c>
      <c r="J559" t="s">
        <v>569</v>
      </c>
      <c r="K559">
        <v>0</v>
      </c>
      <c r="L559" t="s">
        <v>569</v>
      </c>
      <c r="M559" t="s">
        <v>569</v>
      </c>
      <c r="N559" t="s">
        <v>569</v>
      </c>
      <c r="O559" t="s">
        <v>569</v>
      </c>
      <c r="P559" t="s">
        <v>569</v>
      </c>
      <c r="Q559" t="s">
        <v>569</v>
      </c>
      <c r="R559">
        <v>48.409508840000001</v>
      </c>
      <c r="S559" t="s">
        <v>1213</v>
      </c>
      <c r="T559">
        <v>-123.4798148</v>
      </c>
      <c r="U559" t="s">
        <v>1206</v>
      </c>
      <c r="V559" t="s">
        <v>569</v>
      </c>
      <c r="W559" t="s">
        <v>569</v>
      </c>
      <c r="X559" t="s">
        <v>569</v>
      </c>
      <c r="Y559" t="s">
        <v>569</v>
      </c>
      <c r="Z559" t="s">
        <v>569</v>
      </c>
      <c r="AA559" t="s">
        <v>1230</v>
      </c>
      <c r="AB559">
        <v>50</v>
      </c>
      <c r="AC55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0" spans="1:29" x14ac:dyDescent="0.25">
      <c r="A560" t="s">
        <v>1421</v>
      </c>
      <c r="B560" t="s">
        <v>505</v>
      </c>
      <c r="C560" t="s">
        <v>504</v>
      </c>
      <c r="D560" t="s">
        <v>501</v>
      </c>
      <c r="E560" t="s">
        <v>502</v>
      </c>
      <c r="F560" t="s">
        <v>569</v>
      </c>
      <c r="G560" t="s">
        <v>569</v>
      </c>
      <c r="H560" t="s">
        <v>569</v>
      </c>
      <c r="I560" t="s">
        <v>569</v>
      </c>
      <c r="J560" t="s">
        <v>569</v>
      </c>
      <c r="K560" t="s">
        <v>569</v>
      </c>
      <c r="L560" t="s">
        <v>569</v>
      </c>
      <c r="M560" t="s">
        <v>569</v>
      </c>
      <c r="N560" t="s">
        <v>569</v>
      </c>
      <c r="O560" t="s">
        <v>569</v>
      </c>
      <c r="P560" t="s">
        <v>569</v>
      </c>
      <c r="Q560" t="s">
        <v>569</v>
      </c>
      <c r="R560" t="s">
        <v>569</v>
      </c>
      <c r="S560" t="s">
        <v>569</v>
      </c>
      <c r="T560" t="s">
        <v>569</v>
      </c>
      <c r="U560" t="s">
        <v>569</v>
      </c>
      <c r="V560" t="s">
        <v>569</v>
      </c>
      <c r="W560" t="s">
        <v>569</v>
      </c>
      <c r="X560" t="s">
        <v>569</v>
      </c>
      <c r="Y560" t="s">
        <v>569</v>
      </c>
      <c r="Z560" t="s">
        <v>569</v>
      </c>
      <c r="AA560" t="s">
        <v>569</v>
      </c>
      <c r="AB560">
        <v>50</v>
      </c>
      <c r="AC56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1" spans="1:29" x14ac:dyDescent="0.25">
      <c r="A561" t="s">
        <v>752</v>
      </c>
      <c r="B561" t="s">
        <v>505</v>
      </c>
      <c r="C561" t="s">
        <v>504</v>
      </c>
      <c r="D561" t="s">
        <v>501</v>
      </c>
      <c r="E561" t="s">
        <v>502</v>
      </c>
      <c r="F561" t="s">
        <v>569</v>
      </c>
      <c r="G561" t="s">
        <v>569</v>
      </c>
      <c r="H561" t="s">
        <v>569</v>
      </c>
      <c r="I561" t="s">
        <v>569</v>
      </c>
      <c r="J561" t="s">
        <v>569</v>
      </c>
      <c r="K561">
        <v>0</v>
      </c>
      <c r="L561" t="s">
        <v>569</v>
      </c>
      <c r="M561" t="s">
        <v>569</v>
      </c>
      <c r="N561" t="s">
        <v>569</v>
      </c>
      <c r="O561" t="s">
        <v>569</v>
      </c>
      <c r="P561" t="s">
        <v>569</v>
      </c>
      <c r="Q561" t="s">
        <v>569</v>
      </c>
      <c r="R561">
        <v>48.421301339999999</v>
      </c>
      <c r="S561" t="s">
        <v>1213</v>
      </c>
      <c r="T561">
        <v>-123.37199630000001</v>
      </c>
      <c r="U561" t="s">
        <v>1206</v>
      </c>
      <c r="V561" t="s">
        <v>569</v>
      </c>
      <c r="W561" t="s">
        <v>569</v>
      </c>
      <c r="X561" t="s">
        <v>569</v>
      </c>
      <c r="Y561" t="s">
        <v>569</v>
      </c>
      <c r="Z561" t="s">
        <v>569</v>
      </c>
      <c r="AA561" t="s">
        <v>1229</v>
      </c>
      <c r="AB561">
        <v>50</v>
      </c>
      <c r="AC56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2" spans="1:29" x14ac:dyDescent="0.25">
      <c r="A562" t="s">
        <v>573</v>
      </c>
      <c r="B562" t="s">
        <v>572</v>
      </c>
      <c r="C562" t="s">
        <v>504</v>
      </c>
      <c r="D562" t="s">
        <v>501</v>
      </c>
      <c r="E562" t="s">
        <v>502</v>
      </c>
      <c r="F562" t="s">
        <v>569</v>
      </c>
      <c r="G562" t="s">
        <v>569</v>
      </c>
      <c r="H562" t="s">
        <v>569</v>
      </c>
      <c r="I562" t="s">
        <v>569</v>
      </c>
      <c r="J562" t="s">
        <v>569</v>
      </c>
      <c r="K562">
        <v>0</v>
      </c>
      <c r="L562" t="s">
        <v>569</v>
      </c>
      <c r="M562" t="s">
        <v>569</v>
      </c>
      <c r="N562" t="s">
        <v>569</v>
      </c>
      <c r="O562" t="s">
        <v>569</v>
      </c>
      <c r="P562" t="s">
        <v>569</v>
      </c>
      <c r="Q562" t="s">
        <v>569</v>
      </c>
      <c r="R562">
        <v>48.77332406</v>
      </c>
      <c r="S562" t="s">
        <v>1213</v>
      </c>
      <c r="T562">
        <v>-123.3668196</v>
      </c>
      <c r="U562" t="s">
        <v>1206</v>
      </c>
      <c r="V562" t="s">
        <v>569</v>
      </c>
      <c r="W562" t="s">
        <v>569</v>
      </c>
      <c r="X562" t="s">
        <v>569</v>
      </c>
      <c r="Y562" t="s">
        <v>569</v>
      </c>
      <c r="Z562" t="s">
        <v>569</v>
      </c>
      <c r="AA562" t="s">
        <v>1229</v>
      </c>
      <c r="AB562">
        <v>50</v>
      </c>
      <c r="AC5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3" spans="1:29" x14ac:dyDescent="0.25">
      <c r="A563" t="s">
        <v>770</v>
      </c>
      <c r="B563" t="s">
        <v>764</v>
      </c>
      <c r="C563" t="s">
        <v>764</v>
      </c>
      <c r="D563" t="s">
        <v>756</v>
      </c>
      <c r="E563" t="s">
        <v>757</v>
      </c>
      <c r="F563" t="s">
        <v>569</v>
      </c>
      <c r="G563" t="s">
        <v>569</v>
      </c>
      <c r="H563" t="s">
        <v>569</v>
      </c>
      <c r="I563" t="s">
        <v>569</v>
      </c>
      <c r="J563" t="s">
        <v>569</v>
      </c>
      <c r="K563" t="s">
        <v>569</v>
      </c>
      <c r="L563" t="s">
        <v>569</v>
      </c>
      <c r="M563" t="s">
        <v>569</v>
      </c>
      <c r="N563" t="s">
        <v>569</v>
      </c>
      <c r="O563" t="s">
        <v>569</v>
      </c>
      <c r="P563" t="s">
        <v>569</v>
      </c>
      <c r="Q563" t="s">
        <v>569</v>
      </c>
      <c r="R563">
        <v>11.54914299</v>
      </c>
      <c r="S563" t="s">
        <v>1213</v>
      </c>
      <c r="T563">
        <v>104.9177071</v>
      </c>
      <c r="U563" t="s">
        <v>1201</v>
      </c>
      <c r="V563" t="s">
        <v>569</v>
      </c>
      <c r="W563" t="s">
        <v>569</v>
      </c>
      <c r="X563" t="s">
        <v>569</v>
      </c>
      <c r="Y563" t="s">
        <v>569</v>
      </c>
      <c r="Z563" t="s">
        <v>569</v>
      </c>
      <c r="AA563" t="s">
        <v>569</v>
      </c>
      <c r="AB563">
        <v>50</v>
      </c>
      <c r="AC5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4" spans="1:29" x14ac:dyDescent="0.25">
      <c r="A564" t="s">
        <v>862</v>
      </c>
      <c r="B564" t="s">
        <v>505</v>
      </c>
      <c r="C564" t="s">
        <v>504</v>
      </c>
      <c r="D564" t="s">
        <v>501</v>
      </c>
      <c r="E564" t="s">
        <v>502</v>
      </c>
      <c r="F564" t="s">
        <v>569</v>
      </c>
      <c r="G564" t="s">
        <v>569</v>
      </c>
      <c r="H564" t="s">
        <v>569</v>
      </c>
      <c r="I564" t="s">
        <v>569</v>
      </c>
      <c r="J564" t="s">
        <v>569</v>
      </c>
      <c r="K564">
        <v>0</v>
      </c>
      <c r="L564" t="s">
        <v>569</v>
      </c>
      <c r="M564" t="s">
        <v>569</v>
      </c>
      <c r="N564" t="s">
        <v>569</v>
      </c>
      <c r="O564" t="s">
        <v>569</v>
      </c>
      <c r="P564" t="s">
        <v>569</v>
      </c>
      <c r="Q564" t="s">
        <v>569</v>
      </c>
      <c r="R564">
        <v>48.501389930000002</v>
      </c>
      <c r="S564" t="s">
        <v>1213</v>
      </c>
      <c r="T564">
        <v>-123.38974709999999</v>
      </c>
      <c r="U564" t="s">
        <v>1206</v>
      </c>
      <c r="V564" t="s">
        <v>569</v>
      </c>
      <c r="W564" t="s">
        <v>569</v>
      </c>
      <c r="X564" t="s">
        <v>569</v>
      </c>
      <c r="Y564" t="s">
        <v>569</v>
      </c>
      <c r="Z564" t="s">
        <v>569</v>
      </c>
      <c r="AA564" t="s">
        <v>1229</v>
      </c>
      <c r="AB564">
        <v>50</v>
      </c>
      <c r="AC5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5" spans="1:29" x14ac:dyDescent="0.25">
      <c r="A565" t="s">
        <v>845</v>
      </c>
      <c r="B565" t="s">
        <v>505</v>
      </c>
      <c r="C565" t="s">
        <v>504</v>
      </c>
      <c r="D565" t="s">
        <v>501</v>
      </c>
      <c r="E565" t="s">
        <v>502</v>
      </c>
      <c r="F565" t="s">
        <v>569</v>
      </c>
      <c r="G565" t="s">
        <v>569</v>
      </c>
      <c r="H565" t="s">
        <v>569</v>
      </c>
      <c r="I565" t="s">
        <v>569</v>
      </c>
      <c r="J565" t="s">
        <v>569</v>
      </c>
      <c r="K565">
        <v>0</v>
      </c>
      <c r="L565" t="s">
        <v>569</v>
      </c>
      <c r="M565" t="s">
        <v>569</v>
      </c>
      <c r="N565" t="s">
        <v>569</v>
      </c>
      <c r="O565" t="s">
        <v>569</v>
      </c>
      <c r="P565" t="s">
        <v>569</v>
      </c>
      <c r="Q565" t="s">
        <v>569</v>
      </c>
      <c r="R565">
        <v>48.582739770000003</v>
      </c>
      <c r="S565" t="s">
        <v>1213</v>
      </c>
      <c r="T565">
        <v>-123.433392</v>
      </c>
      <c r="U565" t="s">
        <v>1206</v>
      </c>
      <c r="V565" t="s">
        <v>569</v>
      </c>
      <c r="W565" t="s">
        <v>569</v>
      </c>
      <c r="X565" t="s">
        <v>569</v>
      </c>
      <c r="Y565" t="s">
        <v>569</v>
      </c>
      <c r="Z565" t="s">
        <v>569</v>
      </c>
      <c r="AA565" t="s">
        <v>1229</v>
      </c>
      <c r="AB565">
        <v>50</v>
      </c>
      <c r="AC5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6" spans="1:29" x14ac:dyDescent="0.25">
      <c r="A566" t="s">
        <v>833</v>
      </c>
      <c r="B566" t="s">
        <v>505</v>
      </c>
      <c r="C566" t="s">
        <v>504</v>
      </c>
      <c r="D566" t="s">
        <v>501</v>
      </c>
      <c r="E566" t="s">
        <v>502</v>
      </c>
      <c r="F566" t="s">
        <v>569</v>
      </c>
      <c r="G566" t="s">
        <v>569</v>
      </c>
      <c r="H566" t="s">
        <v>569</v>
      </c>
      <c r="I566" t="s">
        <v>569</v>
      </c>
      <c r="J566" t="s">
        <v>569</v>
      </c>
      <c r="K566" t="s">
        <v>569</v>
      </c>
      <c r="L566" t="s">
        <v>569</v>
      </c>
      <c r="M566" t="s">
        <v>569</v>
      </c>
      <c r="N566" t="s">
        <v>569</v>
      </c>
      <c r="O566" t="s">
        <v>569</v>
      </c>
      <c r="P566" t="s">
        <v>569</v>
      </c>
      <c r="Q566" t="s">
        <v>569</v>
      </c>
      <c r="R566">
        <v>48.58147778</v>
      </c>
      <c r="S566" t="s">
        <v>1213</v>
      </c>
      <c r="T566">
        <v>-123.3990167</v>
      </c>
      <c r="U566" t="s">
        <v>1206</v>
      </c>
      <c r="V566" t="s">
        <v>569</v>
      </c>
      <c r="W566" t="s">
        <v>569</v>
      </c>
      <c r="X566" t="s">
        <v>569</v>
      </c>
      <c r="Y566" t="s">
        <v>569</v>
      </c>
      <c r="Z566" t="s">
        <v>569</v>
      </c>
      <c r="AA566" t="s">
        <v>1230</v>
      </c>
      <c r="AB566">
        <v>50</v>
      </c>
      <c r="AC5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7" spans="1:29" x14ac:dyDescent="0.25">
      <c r="A567" t="s">
        <v>798</v>
      </c>
      <c r="B567" t="s">
        <v>794</v>
      </c>
      <c r="C567" t="s">
        <v>794</v>
      </c>
      <c r="D567" t="s">
        <v>795</v>
      </c>
      <c r="E567" t="s">
        <v>796</v>
      </c>
      <c r="F567" t="s">
        <v>569</v>
      </c>
      <c r="G567" t="s">
        <v>569</v>
      </c>
      <c r="H567" t="s">
        <v>569</v>
      </c>
      <c r="I567" t="s">
        <v>569</v>
      </c>
      <c r="J567" t="s">
        <v>569</v>
      </c>
      <c r="K567">
        <v>0</v>
      </c>
      <c r="L567" t="s">
        <v>569</v>
      </c>
      <c r="M567" t="s">
        <v>569</v>
      </c>
      <c r="N567" t="s">
        <v>569</v>
      </c>
      <c r="O567" t="s">
        <v>569</v>
      </c>
      <c r="P567" t="s">
        <v>569</v>
      </c>
      <c r="Q567" t="s">
        <v>569</v>
      </c>
      <c r="R567">
        <v>10.780075699999999</v>
      </c>
      <c r="S567" t="s">
        <v>1213</v>
      </c>
      <c r="T567">
        <v>106.6998088</v>
      </c>
      <c r="U567" t="s">
        <v>1201</v>
      </c>
      <c r="V567" t="s">
        <v>569</v>
      </c>
      <c r="W567" t="s">
        <v>569</v>
      </c>
      <c r="X567" t="s">
        <v>569</v>
      </c>
      <c r="Y567" t="s">
        <v>569</v>
      </c>
      <c r="Z567" t="s">
        <v>569</v>
      </c>
      <c r="AA567" t="s">
        <v>1229</v>
      </c>
      <c r="AB567">
        <v>50</v>
      </c>
      <c r="AC5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8" spans="1:29" x14ac:dyDescent="0.25">
      <c r="A568" t="s">
        <v>1425</v>
      </c>
      <c r="B568" t="s">
        <v>1025</v>
      </c>
      <c r="C568" t="s">
        <v>1282</v>
      </c>
      <c r="D568" t="s">
        <v>652</v>
      </c>
      <c r="E568" t="s">
        <v>653</v>
      </c>
      <c r="F568" t="s">
        <v>569</v>
      </c>
      <c r="G568" t="s">
        <v>569</v>
      </c>
      <c r="H568" t="s">
        <v>569</v>
      </c>
      <c r="I568" t="s">
        <v>569</v>
      </c>
      <c r="J568" t="s">
        <v>569</v>
      </c>
      <c r="K568" t="s">
        <v>569</v>
      </c>
      <c r="L568" t="s">
        <v>569</v>
      </c>
      <c r="M568" t="s">
        <v>569</v>
      </c>
      <c r="N568" t="s">
        <v>569</v>
      </c>
      <c r="O568" t="s">
        <v>569</v>
      </c>
      <c r="P568" t="s">
        <v>569</v>
      </c>
      <c r="Q568" t="s">
        <v>569</v>
      </c>
      <c r="R568" t="s">
        <v>569</v>
      </c>
      <c r="S568" t="s">
        <v>569</v>
      </c>
      <c r="T568" t="s">
        <v>569</v>
      </c>
      <c r="U568" t="s">
        <v>569</v>
      </c>
      <c r="V568" t="s">
        <v>569</v>
      </c>
      <c r="W568" t="s">
        <v>569</v>
      </c>
      <c r="X568" t="s">
        <v>569</v>
      </c>
      <c r="Y568" t="s">
        <v>569</v>
      </c>
      <c r="Z568" t="s">
        <v>569</v>
      </c>
      <c r="AA568" t="s">
        <v>569</v>
      </c>
      <c r="AB568">
        <v>50</v>
      </c>
      <c r="AC56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69" spans="1:29" x14ac:dyDescent="0.25">
      <c r="A569" t="s">
        <v>636</v>
      </c>
      <c r="B569" t="s">
        <v>557</v>
      </c>
      <c r="C569" t="s">
        <v>504</v>
      </c>
      <c r="D569" t="s">
        <v>501</v>
      </c>
      <c r="E569" t="s">
        <v>502</v>
      </c>
      <c r="F569" t="s">
        <v>569</v>
      </c>
      <c r="G569" t="s">
        <v>569</v>
      </c>
      <c r="H569" t="s">
        <v>569</v>
      </c>
      <c r="I569" t="s">
        <v>569</v>
      </c>
      <c r="J569" t="s">
        <v>569</v>
      </c>
      <c r="K569">
        <v>0</v>
      </c>
      <c r="L569" t="s">
        <v>569</v>
      </c>
      <c r="M569" t="s">
        <v>569</v>
      </c>
      <c r="N569" t="s">
        <v>569</v>
      </c>
      <c r="O569" t="s">
        <v>569</v>
      </c>
      <c r="P569" t="s">
        <v>569</v>
      </c>
      <c r="Q569" t="s">
        <v>569</v>
      </c>
      <c r="R569">
        <v>49.940615180000002</v>
      </c>
      <c r="S569" t="s">
        <v>1213</v>
      </c>
      <c r="T569">
        <v>-124.80880740000001</v>
      </c>
      <c r="U569" t="s">
        <v>1206</v>
      </c>
      <c r="V569" t="s">
        <v>569</v>
      </c>
      <c r="W569" t="s">
        <v>569</v>
      </c>
      <c r="X569" t="s">
        <v>569</v>
      </c>
      <c r="Y569" t="s">
        <v>569</v>
      </c>
      <c r="Z569" t="s">
        <v>569</v>
      </c>
      <c r="AA569" t="s">
        <v>1229</v>
      </c>
      <c r="AB569">
        <v>50</v>
      </c>
      <c r="AC5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0" spans="1:29" x14ac:dyDescent="0.25">
      <c r="A570" t="s">
        <v>865</v>
      </c>
      <c r="B570" t="s">
        <v>505</v>
      </c>
      <c r="C570" t="s">
        <v>504</v>
      </c>
      <c r="D570" t="s">
        <v>501</v>
      </c>
      <c r="E570" t="s">
        <v>502</v>
      </c>
      <c r="F570" t="s">
        <v>569</v>
      </c>
      <c r="G570" t="s">
        <v>569</v>
      </c>
      <c r="H570" t="s">
        <v>569</v>
      </c>
      <c r="I570" t="s">
        <v>569</v>
      </c>
      <c r="J570" t="s">
        <v>569</v>
      </c>
      <c r="K570">
        <v>0</v>
      </c>
      <c r="L570" t="s">
        <v>569</v>
      </c>
      <c r="M570" t="s">
        <v>569</v>
      </c>
      <c r="N570" t="s">
        <v>569</v>
      </c>
      <c r="O570" t="s">
        <v>569</v>
      </c>
      <c r="P570" t="s">
        <v>569</v>
      </c>
      <c r="Q570" t="s">
        <v>569</v>
      </c>
      <c r="R570">
        <v>48.431581829999999</v>
      </c>
      <c r="S570" t="s">
        <v>1213</v>
      </c>
      <c r="T570">
        <v>-123.360562</v>
      </c>
      <c r="U570" t="s">
        <v>1206</v>
      </c>
      <c r="V570" t="s">
        <v>569</v>
      </c>
      <c r="W570" t="s">
        <v>569</v>
      </c>
      <c r="X570" t="s">
        <v>569</v>
      </c>
      <c r="Y570" t="s">
        <v>569</v>
      </c>
      <c r="Z570" t="s">
        <v>569</v>
      </c>
      <c r="AA570" t="s">
        <v>1229</v>
      </c>
      <c r="AB570">
        <v>50</v>
      </c>
      <c r="AC57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1" spans="1:29" x14ac:dyDescent="0.25">
      <c r="A571" t="s">
        <v>1404</v>
      </c>
      <c r="B571" t="s">
        <v>505</v>
      </c>
      <c r="C571" t="s">
        <v>504</v>
      </c>
      <c r="D571" t="s">
        <v>501</v>
      </c>
      <c r="E571" t="s">
        <v>502</v>
      </c>
      <c r="F571" t="s">
        <v>569</v>
      </c>
      <c r="G571" t="s">
        <v>569</v>
      </c>
      <c r="H571" t="s">
        <v>569</v>
      </c>
      <c r="I571" t="s">
        <v>569</v>
      </c>
      <c r="J571" t="s">
        <v>569</v>
      </c>
      <c r="K571" t="s">
        <v>569</v>
      </c>
      <c r="L571" t="s">
        <v>569</v>
      </c>
      <c r="M571" t="s">
        <v>569</v>
      </c>
      <c r="N571" t="s">
        <v>569</v>
      </c>
      <c r="O571" t="s">
        <v>569</v>
      </c>
      <c r="P571" t="s">
        <v>569</v>
      </c>
      <c r="Q571" t="s">
        <v>569</v>
      </c>
      <c r="R571" t="s">
        <v>569</v>
      </c>
      <c r="S571" t="s">
        <v>569</v>
      </c>
      <c r="T571" t="s">
        <v>569</v>
      </c>
      <c r="U571" t="s">
        <v>569</v>
      </c>
      <c r="V571" t="s">
        <v>569</v>
      </c>
      <c r="W571" t="s">
        <v>569</v>
      </c>
      <c r="X571" t="s">
        <v>569</v>
      </c>
      <c r="Y571" t="s">
        <v>569</v>
      </c>
      <c r="Z571" t="s">
        <v>569</v>
      </c>
      <c r="AA571" t="s">
        <v>569</v>
      </c>
      <c r="AB571">
        <v>50</v>
      </c>
      <c r="AC57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2" spans="1:29" x14ac:dyDescent="0.25">
      <c r="A572" t="s">
        <v>736</v>
      </c>
      <c r="B572" t="s">
        <v>726</v>
      </c>
      <c r="C572" t="s">
        <v>728</v>
      </c>
      <c r="D572" t="s">
        <v>652</v>
      </c>
      <c r="E572" t="s">
        <v>653</v>
      </c>
      <c r="F572" t="s">
        <v>569</v>
      </c>
      <c r="G572" t="s">
        <v>569</v>
      </c>
      <c r="H572" t="s">
        <v>569</v>
      </c>
      <c r="I572" t="s">
        <v>569</v>
      </c>
      <c r="J572" t="s">
        <v>569</v>
      </c>
      <c r="K572">
        <v>0</v>
      </c>
      <c r="L572" t="s">
        <v>569</v>
      </c>
      <c r="M572" t="s">
        <v>569</v>
      </c>
      <c r="N572" t="s">
        <v>569</v>
      </c>
      <c r="O572" t="s">
        <v>569</v>
      </c>
      <c r="P572" t="s">
        <v>569</v>
      </c>
      <c r="Q572" t="s">
        <v>569</v>
      </c>
      <c r="R572">
        <v>47.621206829999998</v>
      </c>
      <c r="S572" t="s">
        <v>1213</v>
      </c>
      <c r="T572">
        <v>-122.34950069999999</v>
      </c>
      <c r="U572" t="s">
        <v>1206</v>
      </c>
      <c r="V572" t="s">
        <v>569</v>
      </c>
      <c r="W572" t="s">
        <v>569</v>
      </c>
      <c r="X572" t="s">
        <v>569</v>
      </c>
      <c r="Y572" t="s">
        <v>569</v>
      </c>
      <c r="Z572" s="9">
        <v>0</v>
      </c>
      <c r="AA572" t="s">
        <v>1229</v>
      </c>
      <c r="AB572">
        <v>50</v>
      </c>
      <c r="AC57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3" spans="1:29" x14ac:dyDescent="0.25">
      <c r="A573" t="s">
        <v>880</v>
      </c>
      <c r="B573" t="s">
        <v>505</v>
      </c>
      <c r="C573" t="s">
        <v>504</v>
      </c>
      <c r="D573" t="s">
        <v>501</v>
      </c>
      <c r="E573" t="s">
        <v>502</v>
      </c>
      <c r="F573" t="s">
        <v>569</v>
      </c>
      <c r="G573" t="s">
        <v>569</v>
      </c>
      <c r="H573" t="s">
        <v>569</v>
      </c>
      <c r="I573" t="s">
        <v>569</v>
      </c>
      <c r="J573" t="s">
        <v>569</v>
      </c>
      <c r="K573">
        <v>0</v>
      </c>
      <c r="L573" t="s">
        <v>569</v>
      </c>
      <c r="M573" t="s">
        <v>569</v>
      </c>
      <c r="N573" t="s">
        <v>569</v>
      </c>
      <c r="O573" t="s">
        <v>569</v>
      </c>
      <c r="P573" t="s">
        <v>569</v>
      </c>
      <c r="Q573" t="s">
        <v>569</v>
      </c>
      <c r="R573">
        <v>48.465263620000002</v>
      </c>
      <c r="S573" t="s">
        <v>1213</v>
      </c>
      <c r="T573">
        <v>-123.4025547</v>
      </c>
      <c r="U573" t="s">
        <v>1206</v>
      </c>
      <c r="V573" t="s">
        <v>569</v>
      </c>
      <c r="W573" t="s">
        <v>569</v>
      </c>
      <c r="X573" t="s">
        <v>569</v>
      </c>
      <c r="Y573" t="s">
        <v>569</v>
      </c>
      <c r="Z573" t="s">
        <v>569</v>
      </c>
      <c r="AA573" t="s">
        <v>1229</v>
      </c>
      <c r="AB573">
        <v>50</v>
      </c>
      <c r="AC5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4" spans="1:29" x14ac:dyDescent="0.25">
      <c r="A574" t="s">
        <v>692</v>
      </c>
      <c r="B574" t="s">
        <v>675</v>
      </c>
      <c r="C574" t="s">
        <v>677</v>
      </c>
      <c r="D574" t="s">
        <v>522</v>
      </c>
      <c r="E574" t="s">
        <v>523</v>
      </c>
      <c r="F574" t="s">
        <v>569</v>
      </c>
      <c r="G574" t="s">
        <v>569</v>
      </c>
      <c r="H574" t="s">
        <v>569</v>
      </c>
      <c r="I574" t="s">
        <v>569</v>
      </c>
      <c r="J574" t="s">
        <v>569</v>
      </c>
      <c r="K574">
        <v>0</v>
      </c>
      <c r="L574" t="s">
        <v>569</v>
      </c>
      <c r="M574" t="s">
        <v>569</v>
      </c>
      <c r="N574" t="s">
        <v>569</v>
      </c>
      <c r="O574" t="s">
        <v>569</v>
      </c>
      <c r="P574" t="s">
        <v>569</v>
      </c>
      <c r="Q574" t="s">
        <v>569</v>
      </c>
      <c r="R574">
        <v>-31.462395449999999</v>
      </c>
      <c r="S574" t="s">
        <v>1111</v>
      </c>
      <c r="T574">
        <v>152.93138260000001</v>
      </c>
      <c r="U574" t="s">
        <v>1201</v>
      </c>
      <c r="V574" t="s">
        <v>569</v>
      </c>
      <c r="W574" t="s">
        <v>569</v>
      </c>
      <c r="X574" t="s">
        <v>569</v>
      </c>
      <c r="Y574" t="s">
        <v>569</v>
      </c>
      <c r="Z574" t="s">
        <v>569</v>
      </c>
      <c r="AA574" t="s">
        <v>1229</v>
      </c>
      <c r="AB574">
        <v>50</v>
      </c>
      <c r="AC57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5" spans="1:29" x14ac:dyDescent="0.25">
      <c r="A575" t="s">
        <v>826</v>
      </c>
      <c r="B575" t="s">
        <v>557</v>
      </c>
      <c r="C575" t="s">
        <v>504</v>
      </c>
      <c r="D575" t="s">
        <v>501</v>
      </c>
      <c r="E575" t="s">
        <v>502</v>
      </c>
      <c r="F575" t="s">
        <v>569</v>
      </c>
      <c r="G575" t="s">
        <v>569</v>
      </c>
      <c r="H575" t="s">
        <v>569</v>
      </c>
      <c r="I575" t="s">
        <v>569</v>
      </c>
      <c r="J575" t="s">
        <v>569</v>
      </c>
      <c r="K575">
        <v>0</v>
      </c>
      <c r="L575" t="s">
        <v>569</v>
      </c>
      <c r="M575" t="s">
        <v>569</v>
      </c>
      <c r="N575" t="s">
        <v>569</v>
      </c>
      <c r="O575" t="s">
        <v>569</v>
      </c>
      <c r="P575" t="s">
        <v>569</v>
      </c>
      <c r="Q575" t="s">
        <v>569</v>
      </c>
      <c r="R575">
        <v>49.865806710000001</v>
      </c>
      <c r="S575" t="s">
        <v>1213</v>
      </c>
      <c r="T575">
        <v>-124.5403907</v>
      </c>
      <c r="U575" t="s">
        <v>1206</v>
      </c>
      <c r="V575" t="s">
        <v>569</v>
      </c>
      <c r="W575" t="s">
        <v>569</v>
      </c>
      <c r="X575" t="s">
        <v>569</v>
      </c>
      <c r="Y575" t="s">
        <v>569</v>
      </c>
      <c r="Z575" t="s">
        <v>569</v>
      </c>
      <c r="AA575" t="s">
        <v>1229</v>
      </c>
      <c r="AB575">
        <v>50</v>
      </c>
      <c r="AC5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6" spans="1:29" x14ac:dyDescent="0.25">
      <c r="A576" t="s">
        <v>866</v>
      </c>
      <c r="B576" t="s">
        <v>8</v>
      </c>
      <c r="C576" t="s">
        <v>504</v>
      </c>
      <c r="D576" t="s">
        <v>501</v>
      </c>
      <c r="E576" t="s">
        <v>502</v>
      </c>
      <c r="F576" t="s">
        <v>569</v>
      </c>
      <c r="G576" t="s">
        <v>569</v>
      </c>
      <c r="H576" t="s">
        <v>569</v>
      </c>
      <c r="I576" t="s">
        <v>569</v>
      </c>
      <c r="J576" t="s">
        <v>569</v>
      </c>
      <c r="K576">
        <v>0</v>
      </c>
      <c r="L576" t="s">
        <v>569</v>
      </c>
      <c r="M576" t="s">
        <v>569</v>
      </c>
      <c r="N576" t="s">
        <v>569</v>
      </c>
      <c r="O576" t="s">
        <v>569</v>
      </c>
      <c r="P576" t="s">
        <v>569</v>
      </c>
      <c r="Q576" t="s">
        <v>569</v>
      </c>
      <c r="R576">
        <v>48.648776359999999</v>
      </c>
      <c r="S576" t="s">
        <v>1213</v>
      </c>
      <c r="T576">
        <v>-123.3938321</v>
      </c>
      <c r="U576" t="s">
        <v>1206</v>
      </c>
      <c r="V576" t="s">
        <v>569</v>
      </c>
      <c r="W576" t="s">
        <v>569</v>
      </c>
      <c r="X576" t="s">
        <v>569</v>
      </c>
      <c r="Y576" t="s">
        <v>569</v>
      </c>
      <c r="Z576" t="s">
        <v>569</v>
      </c>
      <c r="AA576" t="s">
        <v>1229</v>
      </c>
      <c r="AB576">
        <v>50</v>
      </c>
      <c r="AC5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7" spans="1:29" x14ac:dyDescent="0.25">
      <c r="A577" t="s">
        <v>957</v>
      </c>
      <c r="B577" t="s">
        <v>954</v>
      </c>
      <c r="C577" t="s">
        <v>505</v>
      </c>
      <c r="D577" t="s">
        <v>522</v>
      </c>
      <c r="E577" t="s">
        <v>523</v>
      </c>
      <c r="F577" t="s">
        <v>569</v>
      </c>
      <c r="G577" t="s">
        <v>569</v>
      </c>
      <c r="H577" t="s">
        <v>569</v>
      </c>
      <c r="I577" t="s">
        <v>569</v>
      </c>
      <c r="J577" t="s">
        <v>569</v>
      </c>
      <c r="K577">
        <v>0</v>
      </c>
      <c r="L577" t="s">
        <v>569</v>
      </c>
      <c r="M577" t="s">
        <v>569</v>
      </c>
      <c r="N577" t="s">
        <v>569</v>
      </c>
      <c r="O577" t="s">
        <v>569</v>
      </c>
      <c r="P577" t="s">
        <v>569</v>
      </c>
      <c r="Q577" t="s">
        <v>569</v>
      </c>
      <c r="R577">
        <v>-37.820641719999998</v>
      </c>
      <c r="S577" t="s">
        <v>1111</v>
      </c>
      <c r="T577">
        <v>144.95823350000001</v>
      </c>
      <c r="U577" t="s">
        <v>1201</v>
      </c>
      <c r="V577" t="s">
        <v>569</v>
      </c>
      <c r="W577" t="s">
        <v>569</v>
      </c>
      <c r="X577" t="s">
        <v>569</v>
      </c>
      <c r="Y577" t="s">
        <v>569</v>
      </c>
      <c r="Z577" t="s">
        <v>569</v>
      </c>
      <c r="AA577" t="s">
        <v>1229</v>
      </c>
      <c r="AB577">
        <v>50</v>
      </c>
      <c r="AC5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8" spans="1:29" x14ac:dyDescent="0.25">
      <c r="A578" t="s">
        <v>699</v>
      </c>
      <c r="B578" t="s">
        <v>696</v>
      </c>
      <c r="C578" t="s">
        <v>677</v>
      </c>
      <c r="D578" t="s">
        <v>522</v>
      </c>
      <c r="E578" t="s">
        <v>523</v>
      </c>
      <c r="F578" t="s">
        <v>569</v>
      </c>
      <c r="G578" t="s">
        <v>569</v>
      </c>
      <c r="H578" t="s">
        <v>569</v>
      </c>
      <c r="I578" t="s">
        <v>569</v>
      </c>
      <c r="J578" t="s">
        <v>569</v>
      </c>
      <c r="K578">
        <v>0</v>
      </c>
      <c r="L578" t="s">
        <v>569</v>
      </c>
      <c r="M578" t="s">
        <v>569</v>
      </c>
      <c r="N578" t="s">
        <v>569</v>
      </c>
      <c r="O578" t="s">
        <v>569</v>
      </c>
      <c r="P578" t="s">
        <v>569</v>
      </c>
      <c r="Q578" t="s">
        <v>569</v>
      </c>
      <c r="R578">
        <v>-33.86956927</v>
      </c>
      <c r="S578" t="s">
        <v>1111</v>
      </c>
      <c r="T578">
        <v>151.20258630000001</v>
      </c>
      <c r="U578" t="s">
        <v>1201</v>
      </c>
      <c r="V578" t="s">
        <v>569</v>
      </c>
      <c r="W578" t="s">
        <v>569</v>
      </c>
      <c r="X578" t="s">
        <v>569</v>
      </c>
      <c r="Y578" t="s">
        <v>569</v>
      </c>
      <c r="Z578" s="9">
        <v>0</v>
      </c>
      <c r="AA578" t="s">
        <v>1229</v>
      </c>
      <c r="AB578">
        <v>50</v>
      </c>
      <c r="AC5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79" spans="1:29" x14ac:dyDescent="0.25">
      <c r="A579" t="s">
        <v>1502</v>
      </c>
      <c r="B579" t="s">
        <v>557</v>
      </c>
      <c r="C579" t="s">
        <v>504</v>
      </c>
      <c r="D579" t="s">
        <v>501</v>
      </c>
      <c r="E579" t="s">
        <v>502</v>
      </c>
      <c r="F579" t="s">
        <v>569</v>
      </c>
      <c r="G579" t="s">
        <v>569</v>
      </c>
      <c r="H579" t="s">
        <v>569</v>
      </c>
      <c r="I579" t="s">
        <v>569</v>
      </c>
      <c r="J579" t="s">
        <v>569</v>
      </c>
      <c r="K579" t="s">
        <v>569</v>
      </c>
      <c r="L579" t="s">
        <v>569</v>
      </c>
      <c r="M579" t="s">
        <v>569</v>
      </c>
      <c r="N579" t="s">
        <v>569</v>
      </c>
      <c r="O579" t="s">
        <v>569</v>
      </c>
      <c r="P579" t="s">
        <v>569</v>
      </c>
      <c r="Q579" t="s">
        <v>569</v>
      </c>
      <c r="R579" t="s">
        <v>569</v>
      </c>
      <c r="S579" t="s">
        <v>569</v>
      </c>
      <c r="T579" t="s">
        <v>569</v>
      </c>
      <c r="U579" t="s">
        <v>569</v>
      </c>
      <c r="V579" t="s">
        <v>569</v>
      </c>
      <c r="W579" t="s">
        <v>569</v>
      </c>
      <c r="X579" t="s">
        <v>569</v>
      </c>
      <c r="Y579" t="s">
        <v>569</v>
      </c>
      <c r="Z579" t="s">
        <v>569</v>
      </c>
      <c r="AA579" t="s">
        <v>569</v>
      </c>
      <c r="AB579">
        <v>50</v>
      </c>
      <c r="AC57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0" spans="1:29" x14ac:dyDescent="0.25">
      <c r="A580" t="s">
        <v>932</v>
      </c>
      <c r="B580" t="s">
        <v>513</v>
      </c>
      <c r="C580" t="s">
        <v>504</v>
      </c>
      <c r="D580" t="s">
        <v>501</v>
      </c>
      <c r="E580" t="s">
        <v>502</v>
      </c>
      <c r="F580" t="s">
        <v>569</v>
      </c>
      <c r="G580" t="s">
        <v>569</v>
      </c>
      <c r="H580" t="s">
        <v>569</v>
      </c>
      <c r="I580" t="s">
        <v>569</v>
      </c>
      <c r="J580" t="s">
        <v>569</v>
      </c>
      <c r="K580">
        <v>0</v>
      </c>
      <c r="L580" t="s">
        <v>569</v>
      </c>
      <c r="M580" t="s">
        <v>569</v>
      </c>
      <c r="N580" t="s">
        <v>569</v>
      </c>
      <c r="O580" t="s">
        <v>569</v>
      </c>
      <c r="P580" t="s">
        <v>569</v>
      </c>
      <c r="Q580" t="s">
        <v>569</v>
      </c>
      <c r="R580">
        <v>49.303719710000003</v>
      </c>
      <c r="S580" t="s">
        <v>1213</v>
      </c>
      <c r="T580">
        <v>-123.0869579</v>
      </c>
      <c r="U580" t="s">
        <v>1206</v>
      </c>
      <c r="V580" t="s">
        <v>569</v>
      </c>
      <c r="W580" t="s">
        <v>569</v>
      </c>
      <c r="X580" t="s">
        <v>569</v>
      </c>
      <c r="Y580" t="s">
        <v>569</v>
      </c>
      <c r="Z580" t="s">
        <v>569</v>
      </c>
      <c r="AA580" t="s">
        <v>1229</v>
      </c>
      <c r="AB580">
        <v>50</v>
      </c>
      <c r="AC58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1" spans="1:29" x14ac:dyDescent="0.25">
      <c r="A581" t="s">
        <v>1403</v>
      </c>
      <c r="B581" t="s">
        <v>505</v>
      </c>
      <c r="C581" t="s">
        <v>504</v>
      </c>
      <c r="D581" t="s">
        <v>501</v>
      </c>
      <c r="E581" t="s">
        <v>502</v>
      </c>
      <c r="F581" t="s">
        <v>569</v>
      </c>
      <c r="G581" t="s">
        <v>569</v>
      </c>
      <c r="H581" t="s">
        <v>569</v>
      </c>
      <c r="I581" t="s">
        <v>569</v>
      </c>
      <c r="J581" t="s">
        <v>569</v>
      </c>
      <c r="K581" t="s">
        <v>569</v>
      </c>
      <c r="L581" t="s">
        <v>569</v>
      </c>
      <c r="M581" t="s">
        <v>569</v>
      </c>
      <c r="N581" t="s">
        <v>569</v>
      </c>
      <c r="O581" t="s">
        <v>569</v>
      </c>
      <c r="P581" t="s">
        <v>569</v>
      </c>
      <c r="Q581" t="s">
        <v>569</v>
      </c>
      <c r="R581" t="s">
        <v>569</v>
      </c>
      <c r="S581" t="s">
        <v>569</v>
      </c>
      <c r="T581" t="s">
        <v>569</v>
      </c>
      <c r="U581" t="s">
        <v>569</v>
      </c>
      <c r="V581" t="s">
        <v>569</v>
      </c>
      <c r="W581" t="s">
        <v>569</v>
      </c>
      <c r="X581" t="s">
        <v>569</v>
      </c>
      <c r="Y581" t="s">
        <v>569</v>
      </c>
      <c r="Z581" t="s">
        <v>569</v>
      </c>
      <c r="AA581" t="s">
        <v>569</v>
      </c>
      <c r="AB581">
        <v>50</v>
      </c>
      <c r="AC58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2" spans="1:29" x14ac:dyDescent="0.25">
      <c r="A582" t="s">
        <v>740</v>
      </c>
      <c r="B582" t="s">
        <v>726</v>
      </c>
      <c r="C582" t="s">
        <v>728</v>
      </c>
      <c r="D582" t="s">
        <v>652</v>
      </c>
      <c r="E582" t="s">
        <v>653</v>
      </c>
      <c r="F582" t="s">
        <v>569</v>
      </c>
      <c r="G582" t="s">
        <v>569</v>
      </c>
      <c r="H582" t="s">
        <v>569</v>
      </c>
      <c r="I582" t="s">
        <v>569</v>
      </c>
      <c r="J582" t="s">
        <v>569</v>
      </c>
      <c r="K582">
        <v>0</v>
      </c>
      <c r="L582" t="s">
        <v>569</v>
      </c>
      <c r="M582" t="s">
        <v>569</v>
      </c>
      <c r="N582" t="s">
        <v>569</v>
      </c>
      <c r="O582" t="s">
        <v>569</v>
      </c>
      <c r="P582" t="s">
        <v>569</v>
      </c>
      <c r="Q582" t="s">
        <v>569</v>
      </c>
      <c r="R582">
        <v>47.607441569999999</v>
      </c>
      <c r="S582" t="s">
        <v>1213</v>
      </c>
      <c r="T582">
        <v>-122.3425283</v>
      </c>
      <c r="U582" t="s">
        <v>1206</v>
      </c>
      <c r="V582" t="s">
        <v>569</v>
      </c>
      <c r="W582" t="s">
        <v>569</v>
      </c>
      <c r="X582" t="s">
        <v>569</v>
      </c>
      <c r="Y582" t="s">
        <v>569</v>
      </c>
      <c r="Z582" s="9">
        <v>0</v>
      </c>
      <c r="AA582" t="s">
        <v>1229</v>
      </c>
      <c r="AB582">
        <v>50</v>
      </c>
      <c r="AC5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3" spans="1:29" x14ac:dyDescent="0.25">
      <c r="A583" t="s">
        <v>732</v>
      </c>
      <c r="B583" t="s">
        <v>726</v>
      </c>
      <c r="C583" t="s">
        <v>728</v>
      </c>
      <c r="D583" t="s">
        <v>652</v>
      </c>
      <c r="E583" t="s">
        <v>653</v>
      </c>
      <c r="F583" t="s">
        <v>569</v>
      </c>
      <c r="G583" t="s">
        <v>569</v>
      </c>
      <c r="H583" t="s">
        <v>569</v>
      </c>
      <c r="I583" t="s">
        <v>569</v>
      </c>
      <c r="J583" t="s">
        <v>569</v>
      </c>
      <c r="K583">
        <v>0</v>
      </c>
      <c r="L583" t="s">
        <v>569</v>
      </c>
      <c r="M583" t="s">
        <v>569</v>
      </c>
      <c r="N583" t="s">
        <v>569</v>
      </c>
      <c r="O583" t="s">
        <v>569</v>
      </c>
      <c r="P583" t="s">
        <v>569</v>
      </c>
      <c r="Q583" t="s">
        <v>569</v>
      </c>
      <c r="R583">
        <v>47.607754419999999</v>
      </c>
      <c r="S583" t="s">
        <v>1213</v>
      </c>
      <c r="T583">
        <v>-122.3386256</v>
      </c>
      <c r="U583" t="s">
        <v>1206</v>
      </c>
      <c r="V583" t="s">
        <v>569</v>
      </c>
      <c r="W583" t="s">
        <v>569</v>
      </c>
      <c r="X583" t="s">
        <v>569</v>
      </c>
      <c r="Y583" t="s">
        <v>569</v>
      </c>
      <c r="Z583" s="9">
        <v>0</v>
      </c>
      <c r="AA583" t="s">
        <v>1229</v>
      </c>
      <c r="AB583">
        <v>50</v>
      </c>
      <c r="AC5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4" spans="1:29" x14ac:dyDescent="0.25">
      <c r="A584" t="s">
        <v>742</v>
      </c>
      <c r="B584" t="s">
        <v>726</v>
      </c>
      <c r="C584" t="s">
        <v>728</v>
      </c>
      <c r="D584" t="s">
        <v>652</v>
      </c>
      <c r="E584" t="s">
        <v>653</v>
      </c>
      <c r="F584" t="s">
        <v>569</v>
      </c>
      <c r="G584" t="s">
        <v>569</v>
      </c>
      <c r="H584" t="s">
        <v>569</v>
      </c>
      <c r="I584" t="s">
        <v>569</v>
      </c>
      <c r="J584" t="s">
        <v>569</v>
      </c>
      <c r="K584">
        <v>0</v>
      </c>
      <c r="L584" t="s">
        <v>569</v>
      </c>
      <c r="M584" t="s">
        <v>569</v>
      </c>
      <c r="N584" t="s">
        <v>569</v>
      </c>
      <c r="O584" t="s">
        <v>569</v>
      </c>
      <c r="P584" t="s">
        <v>569</v>
      </c>
      <c r="Q584" t="s">
        <v>569</v>
      </c>
      <c r="R584">
        <v>47.606649500000003</v>
      </c>
      <c r="S584" t="s">
        <v>1213</v>
      </c>
      <c r="T584">
        <v>-122.3325384</v>
      </c>
      <c r="U584" t="s">
        <v>1206</v>
      </c>
      <c r="V584" t="s">
        <v>569</v>
      </c>
      <c r="W584" t="s">
        <v>569</v>
      </c>
      <c r="X584" t="s">
        <v>569</v>
      </c>
      <c r="Y584" t="s">
        <v>569</v>
      </c>
      <c r="Z584" s="9">
        <v>0</v>
      </c>
      <c r="AA584" t="s">
        <v>1229</v>
      </c>
      <c r="AB584">
        <v>50</v>
      </c>
      <c r="AC58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5" spans="1:29" x14ac:dyDescent="0.25">
      <c r="A585" t="s">
        <v>733</v>
      </c>
      <c r="B585" t="s">
        <v>726</v>
      </c>
      <c r="C585" t="s">
        <v>728</v>
      </c>
      <c r="D585" t="s">
        <v>652</v>
      </c>
      <c r="E585" t="s">
        <v>653</v>
      </c>
      <c r="F585" t="s">
        <v>569</v>
      </c>
      <c r="G585" t="s">
        <v>569</v>
      </c>
      <c r="H585" t="s">
        <v>569</v>
      </c>
      <c r="I585" t="s">
        <v>569</v>
      </c>
      <c r="J585" t="s">
        <v>569</v>
      </c>
      <c r="K585">
        <v>0</v>
      </c>
      <c r="L585" t="s">
        <v>569</v>
      </c>
      <c r="M585" t="s">
        <v>569</v>
      </c>
      <c r="N585" t="s">
        <v>569</v>
      </c>
      <c r="O585" t="s">
        <v>569</v>
      </c>
      <c r="P585" t="s">
        <v>569</v>
      </c>
      <c r="Q585" t="s">
        <v>569</v>
      </c>
      <c r="R585">
        <v>47.602359829999997</v>
      </c>
      <c r="S585" t="s">
        <v>1213</v>
      </c>
      <c r="T585">
        <v>-122.3336515</v>
      </c>
      <c r="U585" t="s">
        <v>1206</v>
      </c>
      <c r="V585" t="s">
        <v>569</v>
      </c>
      <c r="W585" t="s">
        <v>569</v>
      </c>
      <c r="X585" t="s">
        <v>569</v>
      </c>
      <c r="Y585" t="s">
        <v>569</v>
      </c>
      <c r="Z585" s="9">
        <v>0</v>
      </c>
      <c r="AA585" t="s">
        <v>1229</v>
      </c>
      <c r="AB585">
        <v>50</v>
      </c>
      <c r="AC5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6" spans="1:29" x14ac:dyDescent="0.25">
      <c r="A586" t="s">
        <v>617</v>
      </c>
      <c r="B586" t="s">
        <v>616</v>
      </c>
      <c r="C586" t="s">
        <v>618</v>
      </c>
      <c r="D586" t="s">
        <v>610</v>
      </c>
      <c r="E586" t="s">
        <v>611</v>
      </c>
      <c r="F586" t="s">
        <v>569</v>
      </c>
      <c r="G586" t="s">
        <v>569</v>
      </c>
      <c r="H586" t="s">
        <v>569</v>
      </c>
      <c r="I586" t="s">
        <v>569</v>
      </c>
      <c r="J586" t="s">
        <v>569</v>
      </c>
      <c r="K586">
        <v>0</v>
      </c>
      <c r="L586" t="s">
        <v>569</v>
      </c>
      <c r="M586" t="s">
        <v>569</v>
      </c>
      <c r="N586" t="s">
        <v>569</v>
      </c>
      <c r="O586" t="s">
        <v>569</v>
      </c>
      <c r="P586" t="s">
        <v>569</v>
      </c>
      <c r="Q586" t="s">
        <v>569</v>
      </c>
      <c r="R586">
        <v>35.714775349999996</v>
      </c>
      <c r="S586" t="s">
        <v>1213</v>
      </c>
      <c r="T586">
        <v>139.79661580000001</v>
      </c>
      <c r="U586" t="s">
        <v>1201</v>
      </c>
      <c r="V586" t="s">
        <v>569</v>
      </c>
      <c r="W586" t="s">
        <v>569</v>
      </c>
      <c r="X586" t="s">
        <v>569</v>
      </c>
      <c r="Y586" t="s">
        <v>569</v>
      </c>
      <c r="Z586" t="s">
        <v>569</v>
      </c>
      <c r="AA586" t="s">
        <v>1229</v>
      </c>
      <c r="AB586">
        <v>50</v>
      </c>
      <c r="AC58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7" spans="1:29" x14ac:dyDescent="0.25">
      <c r="A587" t="s">
        <v>1233</v>
      </c>
      <c r="B587" t="s">
        <v>1234</v>
      </c>
      <c r="C587" t="s">
        <v>1235</v>
      </c>
      <c r="D587" t="s">
        <v>1006</v>
      </c>
      <c r="E587" t="s">
        <v>1236</v>
      </c>
      <c r="F587" t="s">
        <v>569</v>
      </c>
      <c r="G587" t="s">
        <v>569</v>
      </c>
      <c r="H587" t="s">
        <v>569</v>
      </c>
      <c r="I587" t="s">
        <v>569</v>
      </c>
      <c r="J587" t="s">
        <v>569</v>
      </c>
      <c r="K587" t="s">
        <v>569</v>
      </c>
      <c r="L587" t="s">
        <v>569</v>
      </c>
      <c r="M587" t="s">
        <v>569</v>
      </c>
      <c r="N587" t="s">
        <v>569</v>
      </c>
      <c r="O587" t="s">
        <v>569</v>
      </c>
      <c r="P587" t="s">
        <v>569</v>
      </c>
      <c r="Q587" t="s">
        <v>569</v>
      </c>
      <c r="R587">
        <v>50.634637400000003</v>
      </c>
      <c r="S587" t="s">
        <v>1213</v>
      </c>
      <c r="T587">
        <v>-1.174491978</v>
      </c>
      <c r="U587" t="s">
        <v>1206</v>
      </c>
      <c r="V587" t="s">
        <v>569</v>
      </c>
      <c r="W587" t="s">
        <v>569</v>
      </c>
      <c r="X587" t="s">
        <v>569</v>
      </c>
      <c r="Y587" t="s">
        <v>569</v>
      </c>
      <c r="Z587" t="s">
        <v>569</v>
      </c>
      <c r="AA587" t="s">
        <v>1230</v>
      </c>
      <c r="AB587">
        <v>50</v>
      </c>
      <c r="AC58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8" spans="1:29" x14ac:dyDescent="0.25">
      <c r="A588" t="s">
        <v>878</v>
      </c>
      <c r="B588" t="s">
        <v>8</v>
      </c>
      <c r="C588" t="s">
        <v>504</v>
      </c>
      <c r="D588" t="s">
        <v>501</v>
      </c>
      <c r="E588" t="s">
        <v>502</v>
      </c>
      <c r="F588" t="s">
        <v>569</v>
      </c>
      <c r="G588" t="s">
        <v>569</v>
      </c>
      <c r="H588" t="s">
        <v>569</v>
      </c>
      <c r="I588" t="s">
        <v>569</v>
      </c>
      <c r="J588" t="s">
        <v>569</v>
      </c>
      <c r="K588">
        <v>0</v>
      </c>
      <c r="L588" t="s">
        <v>569</v>
      </c>
      <c r="M588" t="s">
        <v>569</v>
      </c>
      <c r="N588" t="s">
        <v>569</v>
      </c>
      <c r="O588" t="s">
        <v>569</v>
      </c>
      <c r="P588" t="s">
        <v>569</v>
      </c>
      <c r="Q588" t="s">
        <v>569</v>
      </c>
      <c r="R588">
        <v>48.64946569</v>
      </c>
      <c r="S588" t="s">
        <v>1213</v>
      </c>
      <c r="T588">
        <v>-123.3935773</v>
      </c>
      <c r="U588" t="s">
        <v>1206</v>
      </c>
      <c r="V588" t="s">
        <v>569</v>
      </c>
      <c r="W588" t="s">
        <v>569</v>
      </c>
      <c r="X588" t="s">
        <v>569</v>
      </c>
      <c r="Y588" t="s">
        <v>569</v>
      </c>
      <c r="Z588" t="s">
        <v>569</v>
      </c>
      <c r="AA588" t="s">
        <v>1229</v>
      </c>
      <c r="AB588">
        <v>50</v>
      </c>
      <c r="AC5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89" spans="1:29" x14ac:dyDescent="0.25">
      <c r="A589" t="s">
        <v>1390</v>
      </c>
      <c r="B589" t="s">
        <v>1388</v>
      </c>
      <c r="C589" t="s">
        <v>504</v>
      </c>
      <c r="D589" t="s">
        <v>501</v>
      </c>
      <c r="E589" t="s">
        <v>502</v>
      </c>
      <c r="F589" t="s">
        <v>569</v>
      </c>
      <c r="G589" t="s">
        <v>569</v>
      </c>
      <c r="H589" t="s">
        <v>569</v>
      </c>
      <c r="I589" t="s">
        <v>569</v>
      </c>
      <c r="J589" t="s">
        <v>569</v>
      </c>
      <c r="K589" t="s">
        <v>569</v>
      </c>
      <c r="L589" t="s">
        <v>569</v>
      </c>
      <c r="M589" t="s">
        <v>569</v>
      </c>
      <c r="N589" t="s">
        <v>569</v>
      </c>
      <c r="O589" t="s">
        <v>569</v>
      </c>
      <c r="P589" t="s">
        <v>569</v>
      </c>
      <c r="Q589" t="s">
        <v>569</v>
      </c>
      <c r="R589" t="s">
        <v>569</v>
      </c>
      <c r="S589" t="s">
        <v>569</v>
      </c>
      <c r="T589" t="s">
        <v>569</v>
      </c>
      <c r="U589" t="s">
        <v>569</v>
      </c>
      <c r="V589" t="s">
        <v>569</v>
      </c>
      <c r="W589" t="s">
        <v>569</v>
      </c>
      <c r="X589" t="s">
        <v>569</v>
      </c>
      <c r="Y589" t="s">
        <v>569</v>
      </c>
      <c r="Z589" t="s">
        <v>569</v>
      </c>
      <c r="AA589" t="s">
        <v>569</v>
      </c>
      <c r="AB589">
        <v>50</v>
      </c>
      <c r="AC58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0" spans="1:29" x14ac:dyDescent="0.25">
      <c r="A590" t="s">
        <v>615</v>
      </c>
      <c r="B590" t="s">
        <v>609</v>
      </c>
      <c r="C590" t="s">
        <v>613</v>
      </c>
      <c r="D590" t="s">
        <v>610</v>
      </c>
      <c r="E590" t="s">
        <v>611</v>
      </c>
      <c r="F590" t="s">
        <v>569</v>
      </c>
      <c r="G590" t="s">
        <v>569</v>
      </c>
      <c r="H590" t="s">
        <v>569</v>
      </c>
      <c r="I590" t="s">
        <v>569</v>
      </c>
      <c r="J590" t="s">
        <v>569</v>
      </c>
      <c r="K590">
        <v>0</v>
      </c>
      <c r="L590" t="s">
        <v>569</v>
      </c>
      <c r="M590" t="s">
        <v>569</v>
      </c>
      <c r="N590" t="s">
        <v>569</v>
      </c>
      <c r="O590" t="s">
        <v>569</v>
      </c>
      <c r="P590" t="s">
        <v>569</v>
      </c>
      <c r="Q590" t="s">
        <v>569</v>
      </c>
      <c r="R590">
        <v>35.949261679999999</v>
      </c>
      <c r="S590" t="s">
        <v>1213</v>
      </c>
      <c r="T590">
        <v>139.8619008</v>
      </c>
      <c r="U590" t="s">
        <v>1201</v>
      </c>
      <c r="V590" t="s">
        <v>569</v>
      </c>
      <c r="W590" t="s">
        <v>569</v>
      </c>
      <c r="X590" t="s">
        <v>569</v>
      </c>
      <c r="Y590" t="s">
        <v>569</v>
      </c>
      <c r="Z590" t="s">
        <v>569</v>
      </c>
      <c r="AA590" t="s">
        <v>1229</v>
      </c>
      <c r="AB590">
        <v>50</v>
      </c>
      <c r="AC5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1" spans="1:29" x14ac:dyDescent="0.25">
      <c r="A591" t="s">
        <v>1504</v>
      </c>
      <c r="B591" t="s">
        <v>1265</v>
      </c>
      <c r="C591" t="s">
        <v>1266</v>
      </c>
      <c r="D591" t="s">
        <v>652</v>
      </c>
      <c r="E591" t="s">
        <v>653</v>
      </c>
      <c r="F591" t="s">
        <v>569</v>
      </c>
      <c r="G591" t="s">
        <v>569</v>
      </c>
      <c r="H591" t="s">
        <v>569</v>
      </c>
      <c r="I591" t="s">
        <v>569</v>
      </c>
      <c r="J591" t="s">
        <v>569</v>
      </c>
      <c r="K591" t="s">
        <v>569</v>
      </c>
      <c r="L591" t="s">
        <v>569</v>
      </c>
      <c r="M591" t="s">
        <v>569</v>
      </c>
      <c r="N591" t="s">
        <v>569</v>
      </c>
      <c r="O591" t="s">
        <v>569</v>
      </c>
      <c r="P591" t="s">
        <v>569</v>
      </c>
      <c r="Q591" t="s">
        <v>569</v>
      </c>
      <c r="R591" t="s">
        <v>569</v>
      </c>
      <c r="S591" t="s">
        <v>569</v>
      </c>
      <c r="T591" t="s">
        <v>569</v>
      </c>
      <c r="U591" t="s">
        <v>569</v>
      </c>
      <c r="V591" t="s">
        <v>569</v>
      </c>
      <c r="W591" t="s">
        <v>569</v>
      </c>
      <c r="X591" t="s">
        <v>569</v>
      </c>
      <c r="Y591" t="s">
        <v>569</v>
      </c>
      <c r="Z591" t="s">
        <v>569</v>
      </c>
      <c r="AA591" t="s">
        <v>569</v>
      </c>
      <c r="AB591">
        <v>50</v>
      </c>
      <c r="AC59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2" spans="1:29" x14ac:dyDescent="0.25">
      <c r="A592" t="s">
        <v>1384</v>
      </c>
      <c r="B592" t="s">
        <v>8</v>
      </c>
      <c r="C592" t="s">
        <v>504</v>
      </c>
      <c r="D592" t="s">
        <v>501</v>
      </c>
      <c r="E592" t="s">
        <v>502</v>
      </c>
      <c r="F592" t="s">
        <v>569</v>
      </c>
      <c r="G592" t="s">
        <v>569</v>
      </c>
      <c r="H592" t="s">
        <v>569</v>
      </c>
      <c r="I592" t="s">
        <v>569</v>
      </c>
      <c r="J592" t="s">
        <v>569</v>
      </c>
      <c r="K592" t="s">
        <v>569</v>
      </c>
      <c r="L592" t="s">
        <v>569</v>
      </c>
      <c r="M592" t="s">
        <v>569</v>
      </c>
      <c r="N592" t="s">
        <v>569</v>
      </c>
      <c r="O592" t="s">
        <v>569</v>
      </c>
      <c r="P592" t="s">
        <v>569</v>
      </c>
      <c r="Q592" t="s">
        <v>569</v>
      </c>
      <c r="R592" t="s">
        <v>569</v>
      </c>
      <c r="S592" t="s">
        <v>569</v>
      </c>
      <c r="T592" t="s">
        <v>569</v>
      </c>
      <c r="U592" t="s">
        <v>569</v>
      </c>
      <c r="V592" t="s">
        <v>569</v>
      </c>
      <c r="W592" t="s">
        <v>569</v>
      </c>
      <c r="X592" t="s">
        <v>569</v>
      </c>
      <c r="Y592" t="s">
        <v>569</v>
      </c>
      <c r="Z592" t="s">
        <v>569</v>
      </c>
      <c r="AA592" t="s">
        <v>569</v>
      </c>
      <c r="AB592">
        <v>50</v>
      </c>
      <c r="AC59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3" spans="1:29" x14ac:dyDescent="0.25">
      <c r="A593" t="s">
        <v>518</v>
      </c>
      <c r="B593" t="s">
        <v>516</v>
      </c>
      <c r="C593" t="s">
        <v>504</v>
      </c>
      <c r="D593" t="s">
        <v>501</v>
      </c>
      <c r="E593" t="s">
        <v>502</v>
      </c>
      <c r="F593" t="s">
        <v>569</v>
      </c>
      <c r="G593" t="s">
        <v>569</v>
      </c>
      <c r="H593" t="s">
        <v>569</v>
      </c>
      <c r="I593" t="s">
        <v>569</v>
      </c>
      <c r="J593" t="s">
        <v>569</v>
      </c>
      <c r="K593">
        <v>0</v>
      </c>
      <c r="L593" t="s">
        <v>569</v>
      </c>
      <c r="M593" t="s">
        <v>569</v>
      </c>
      <c r="N593" t="s">
        <v>569</v>
      </c>
      <c r="O593" t="s">
        <v>569</v>
      </c>
      <c r="P593" t="s">
        <v>569</v>
      </c>
      <c r="Q593" t="s">
        <v>569</v>
      </c>
      <c r="R593">
        <v>49.25260342</v>
      </c>
      <c r="S593" t="s">
        <v>1213</v>
      </c>
      <c r="T593">
        <v>-122.8982377</v>
      </c>
      <c r="U593" t="s">
        <v>1206</v>
      </c>
      <c r="V593" t="s">
        <v>569</v>
      </c>
      <c r="W593" t="s">
        <v>569</v>
      </c>
      <c r="X593" t="s">
        <v>569</v>
      </c>
      <c r="Y593" t="s">
        <v>569</v>
      </c>
      <c r="Z593" t="s">
        <v>569</v>
      </c>
      <c r="AA593" t="s">
        <v>1229</v>
      </c>
      <c r="AB593">
        <v>50</v>
      </c>
      <c r="AC5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4" spans="1:29" x14ac:dyDescent="0.25">
      <c r="A594" t="s">
        <v>564</v>
      </c>
      <c r="B594" t="s">
        <v>516</v>
      </c>
      <c r="C594" t="s">
        <v>504</v>
      </c>
      <c r="D594" t="s">
        <v>501</v>
      </c>
      <c r="E594" t="s">
        <v>502</v>
      </c>
      <c r="F594" t="s">
        <v>569</v>
      </c>
      <c r="G594" t="s">
        <v>569</v>
      </c>
      <c r="H594" t="s">
        <v>569</v>
      </c>
      <c r="I594" t="s">
        <v>569</v>
      </c>
      <c r="J594" t="s">
        <v>569</v>
      </c>
      <c r="K594">
        <v>0</v>
      </c>
      <c r="L594" t="s">
        <v>569</v>
      </c>
      <c r="M594" t="s">
        <v>569</v>
      </c>
      <c r="N594" t="s">
        <v>569</v>
      </c>
      <c r="O594" t="s">
        <v>569</v>
      </c>
      <c r="P594" t="s">
        <v>569</v>
      </c>
      <c r="Q594" t="s">
        <v>569</v>
      </c>
      <c r="R594">
        <v>49.2794788</v>
      </c>
      <c r="S594" t="s">
        <v>1213</v>
      </c>
      <c r="T594">
        <v>-122.93072600000001</v>
      </c>
      <c r="U594" t="s">
        <v>1206</v>
      </c>
      <c r="V594" t="s">
        <v>569</v>
      </c>
      <c r="W594" t="s">
        <v>569</v>
      </c>
      <c r="X594" t="s">
        <v>569</v>
      </c>
      <c r="Y594" t="s">
        <v>569</v>
      </c>
      <c r="Z594" t="s">
        <v>569</v>
      </c>
      <c r="AA594" t="s">
        <v>1229</v>
      </c>
      <c r="AB594">
        <v>50</v>
      </c>
      <c r="AC5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5" spans="1:29" x14ac:dyDescent="0.25">
      <c r="A595" t="s">
        <v>1001</v>
      </c>
      <c r="B595" t="s">
        <v>1000</v>
      </c>
      <c r="C595" t="s">
        <v>707</v>
      </c>
      <c r="D595" t="s">
        <v>522</v>
      </c>
      <c r="E595" t="s">
        <v>523</v>
      </c>
      <c r="F595" t="s">
        <v>569</v>
      </c>
      <c r="G595" t="s">
        <v>569</v>
      </c>
      <c r="H595" t="s">
        <v>569</v>
      </c>
      <c r="I595" t="s">
        <v>569</v>
      </c>
      <c r="J595" t="s">
        <v>569</v>
      </c>
      <c r="K595" t="s">
        <v>569</v>
      </c>
      <c r="L595" t="s">
        <v>569</v>
      </c>
      <c r="M595" t="s">
        <v>569</v>
      </c>
      <c r="N595" t="s">
        <v>569</v>
      </c>
      <c r="O595" t="s">
        <v>569</v>
      </c>
      <c r="P595" t="s">
        <v>569</v>
      </c>
      <c r="Q595" t="s">
        <v>569</v>
      </c>
      <c r="R595" s="4">
        <v>-16.8475412633031</v>
      </c>
      <c r="S595" t="s">
        <v>1111</v>
      </c>
      <c r="T595" s="4">
        <v>145.69567053454</v>
      </c>
      <c r="U595" t="s">
        <v>1201</v>
      </c>
      <c r="V595" t="s">
        <v>569</v>
      </c>
      <c r="W595" t="s">
        <v>569</v>
      </c>
      <c r="X595" t="s">
        <v>569</v>
      </c>
      <c r="Y595" t="s">
        <v>569</v>
      </c>
      <c r="Z595" t="s">
        <v>569</v>
      </c>
      <c r="AA595" t="s">
        <v>569</v>
      </c>
      <c r="AB595">
        <v>50</v>
      </c>
      <c r="AC59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6" spans="1:29" x14ac:dyDescent="0.25">
      <c r="A596" t="s">
        <v>893</v>
      </c>
      <c r="B596" t="s">
        <v>541</v>
      </c>
      <c r="C596" t="s">
        <v>504</v>
      </c>
      <c r="D596" t="s">
        <v>501</v>
      </c>
      <c r="E596" t="s">
        <v>502</v>
      </c>
      <c r="F596" t="s">
        <v>569</v>
      </c>
      <c r="G596" t="s">
        <v>569</v>
      </c>
      <c r="H596" t="s">
        <v>569</v>
      </c>
      <c r="I596" t="s">
        <v>569</v>
      </c>
      <c r="J596" t="s">
        <v>569</v>
      </c>
      <c r="K596">
        <v>0</v>
      </c>
      <c r="L596" t="s">
        <v>569</v>
      </c>
      <c r="M596" t="s">
        <v>569</v>
      </c>
      <c r="N596" t="s">
        <v>569</v>
      </c>
      <c r="O596" t="s">
        <v>569</v>
      </c>
      <c r="P596" t="s">
        <v>569</v>
      </c>
      <c r="Q596" t="s">
        <v>569</v>
      </c>
      <c r="R596">
        <v>48.329634720000001</v>
      </c>
      <c r="S596" t="s">
        <v>1213</v>
      </c>
      <c r="T596">
        <v>-123.6343364</v>
      </c>
      <c r="U596" t="s">
        <v>1206</v>
      </c>
      <c r="V596" t="s">
        <v>569</v>
      </c>
      <c r="W596" t="s">
        <v>569</v>
      </c>
      <c r="X596" t="s">
        <v>569</v>
      </c>
      <c r="Y596" t="s">
        <v>569</v>
      </c>
      <c r="Z596" t="s">
        <v>569</v>
      </c>
      <c r="AA596" t="s">
        <v>1229</v>
      </c>
      <c r="AB596">
        <v>50</v>
      </c>
      <c r="AC5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7" spans="1:29" x14ac:dyDescent="0.25">
      <c r="A597" t="s">
        <v>1258</v>
      </c>
      <c r="B597" t="s">
        <v>1258</v>
      </c>
      <c r="C597" t="s">
        <v>504</v>
      </c>
      <c r="D597" t="s">
        <v>501</v>
      </c>
      <c r="E597" t="s">
        <v>502</v>
      </c>
      <c r="F597" t="s">
        <v>569</v>
      </c>
      <c r="G597" t="s">
        <v>569</v>
      </c>
      <c r="H597" t="s">
        <v>569</v>
      </c>
      <c r="I597" t="s">
        <v>569</v>
      </c>
      <c r="J597" t="s">
        <v>569</v>
      </c>
      <c r="K597" t="s">
        <v>569</v>
      </c>
      <c r="L597" t="s">
        <v>569</v>
      </c>
      <c r="M597" t="s">
        <v>569</v>
      </c>
      <c r="N597" t="s">
        <v>569</v>
      </c>
      <c r="O597" t="s">
        <v>569</v>
      </c>
      <c r="P597" t="s">
        <v>569</v>
      </c>
      <c r="Q597" t="s">
        <v>569</v>
      </c>
      <c r="R597" t="s">
        <v>569</v>
      </c>
      <c r="S597" t="s">
        <v>569</v>
      </c>
      <c r="T597" t="s">
        <v>569</v>
      </c>
      <c r="U597" t="s">
        <v>569</v>
      </c>
      <c r="V597" t="s">
        <v>569</v>
      </c>
      <c r="W597" t="s">
        <v>569</v>
      </c>
      <c r="X597" t="s">
        <v>569</v>
      </c>
      <c r="Y597" t="s">
        <v>569</v>
      </c>
      <c r="Z597" t="s">
        <v>569</v>
      </c>
      <c r="AA597" t="s">
        <v>569</v>
      </c>
      <c r="AB597">
        <v>50</v>
      </c>
      <c r="AC59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8" spans="1:29" x14ac:dyDescent="0.25">
      <c r="A598" t="s">
        <v>860</v>
      </c>
      <c r="B598" t="s">
        <v>533</v>
      </c>
      <c r="C598" t="s">
        <v>504</v>
      </c>
      <c r="D598" t="s">
        <v>501</v>
      </c>
      <c r="E598" t="s">
        <v>502</v>
      </c>
      <c r="F598" t="s">
        <v>569</v>
      </c>
      <c r="G598" t="s">
        <v>569</v>
      </c>
      <c r="H598" t="s">
        <v>569</v>
      </c>
      <c r="I598" t="s">
        <v>569</v>
      </c>
      <c r="J598" t="s">
        <v>569</v>
      </c>
      <c r="K598">
        <v>0</v>
      </c>
      <c r="L598" t="s">
        <v>569</v>
      </c>
      <c r="M598" t="s">
        <v>569</v>
      </c>
      <c r="N598" t="s">
        <v>569</v>
      </c>
      <c r="O598" t="s">
        <v>569</v>
      </c>
      <c r="P598" t="s">
        <v>569</v>
      </c>
      <c r="Q598" t="s">
        <v>569</v>
      </c>
      <c r="R598">
        <v>48.380874740000003</v>
      </c>
      <c r="S598" t="s">
        <v>1213</v>
      </c>
      <c r="T598">
        <v>-123.7160647</v>
      </c>
      <c r="U598" t="s">
        <v>1206</v>
      </c>
      <c r="V598" t="s">
        <v>569</v>
      </c>
      <c r="W598" t="s">
        <v>569</v>
      </c>
      <c r="X598" t="s">
        <v>569</v>
      </c>
      <c r="Y598" t="s">
        <v>569</v>
      </c>
      <c r="Z598" t="s">
        <v>569</v>
      </c>
      <c r="AA598" t="s">
        <v>1229</v>
      </c>
      <c r="AB598">
        <v>50</v>
      </c>
      <c r="AC5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599" spans="1:29" x14ac:dyDescent="0.25">
      <c r="A599" t="s">
        <v>985</v>
      </c>
      <c r="B599" t="s">
        <v>533</v>
      </c>
      <c r="C599" t="s">
        <v>504</v>
      </c>
      <c r="D599" t="s">
        <v>501</v>
      </c>
      <c r="E599" t="s">
        <v>502</v>
      </c>
      <c r="F599" t="s">
        <v>569</v>
      </c>
      <c r="G599" t="s">
        <v>569</v>
      </c>
      <c r="H599" t="s">
        <v>569</v>
      </c>
      <c r="I599" t="s">
        <v>569</v>
      </c>
      <c r="J599" t="s">
        <v>569</v>
      </c>
      <c r="K599" t="s">
        <v>569</v>
      </c>
      <c r="L599" t="s">
        <v>569</v>
      </c>
      <c r="M599" t="s">
        <v>569</v>
      </c>
      <c r="N599" t="s">
        <v>569</v>
      </c>
      <c r="O599" t="s">
        <v>569</v>
      </c>
      <c r="P599" t="s">
        <v>569</v>
      </c>
      <c r="Q599" t="s">
        <v>569</v>
      </c>
      <c r="R599">
        <v>48.380287799999998</v>
      </c>
      <c r="S599" t="s">
        <v>1213</v>
      </c>
      <c r="T599">
        <v>-123.71578580000001</v>
      </c>
      <c r="U599" t="s">
        <v>1206</v>
      </c>
      <c r="V599" t="s">
        <v>569</v>
      </c>
      <c r="W599" t="s">
        <v>569</v>
      </c>
      <c r="X599" t="s">
        <v>569</v>
      </c>
      <c r="Y599" t="s">
        <v>569</v>
      </c>
      <c r="Z599" t="s">
        <v>569</v>
      </c>
      <c r="AA599" t="s">
        <v>569</v>
      </c>
      <c r="AB599">
        <v>50</v>
      </c>
      <c r="AC59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0" spans="1:29" x14ac:dyDescent="0.25">
      <c r="A600" t="s">
        <v>814</v>
      </c>
      <c r="B600" t="s">
        <v>533</v>
      </c>
      <c r="C600" t="s">
        <v>504</v>
      </c>
      <c r="D600" t="s">
        <v>501</v>
      </c>
      <c r="E600" t="s">
        <v>502</v>
      </c>
      <c r="F600" t="s">
        <v>569</v>
      </c>
      <c r="G600" t="s">
        <v>569</v>
      </c>
      <c r="H600" t="s">
        <v>569</v>
      </c>
      <c r="I600" t="s">
        <v>569</v>
      </c>
      <c r="J600" t="s">
        <v>569</v>
      </c>
      <c r="K600">
        <v>0</v>
      </c>
      <c r="L600" t="s">
        <v>569</v>
      </c>
      <c r="M600" t="s">
        <v>569</v>
      </c>
      <c r="N600" t="s">
        <v>569</v>
      </c>
      <c r="O600" t="s">
        <v>569</v>
      </c>
      <c r="P600" t="s">
        <v>569</v>
      </c>
      <c r="Q600" t="s">
        <v>569</v>
      </c>
      <c r="R600">
        <v>48.357104540000002</v>
      </c>
      <c r="S600" t="s">
        <v>1213</v>
      </c>
      <c r="T600">
        <v>-123.7223625</v>
      </c>
      <c r="U600" t="s">
        <v>1206</v>
      </c>
      <c r="V600" t="s">
        <v>569</v>
      </c>
      <c r="W600" t="s">
        <v>569</v>
      </c>
      <c r="X600" t="s">
        <v>569</v>
      </c>
      <c r="Y600" t="s">
        <v>569</v>
      </c>
      <c r="Z600" t="s">
        <v>569</v>
      </c>
      <c r="AA600" t="s">
        <v>1229</v>
      </c>
      <c r="AB600">
        <v>50</v>
      </c>
      <c r="AC60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1" spans="1:29" x14ac:dyDescent="0.25">
      <c r="A601" t="s">
        <v>534</v>
      </c>
      <c r="B601" t="s">
        <v>533</v>
      </c>
      <c r="C601" t="s">
        <v>504</v>
      </c>
      <c r="D601" t="s">
        <v>501</v>
      </c>
      <c r="E601" t="s">
        <v>502</v>
      </c>
      <c r="F601" t="s">
        <v>569</v>
      </c>
      <c r="G601" t="s">
        <v>1490</v>
      </c>
      <c r="H601" t="s">
        <v>534</v>
      </c>
      <c r="I601" t="s">
        <v>1063</v>
      </c>
      <c r="J601" t="s">
        <v>569</v>
      </c>
      <c r="K601">
        <v>0</v>
      </c>
      <c r="L601" t="s">
        <v>569</v>
      </c>
      <c r="M601" t="s">
        <v>569</v>
      </c>
      <c r="N601" t="s">
        <v>569</v>
      </c>
      <c r="O601" t="s">
        <v>569</v>
      </c>
      <c r="P601" t="s">
        <v>569</v>
      </c>
      <c r="Q601" t="s">
        <v>569</v>
      </c>
      <c r="R601">
        <v>48.419289859999999</v>
      </c>
      <c r="S601" t="s">
        <v>1213</v>
      </c>
      <c r="T601">
        <v>-123.7123847</v>
      </c>
      <c r="U601" t="s">
        <v>1206</v>
      </c>
      <c r="V601" t="s">
        <v>569</v>
      </c>
      <c r="W601" t="s">
        <v>569</v>
      </c>
      <c r="X601" t="s">
        <v>569</v>
      </c>
      <c r="Y601" t="s">
        <v>569</v>
      </c>
      <c r="Z601" t="s">
        <v>569</v>
      </c>
      <c r="AA601" t="s">
        <v>1229</v>
      </c>
      <c r="AB601">
        <v>500</v>
      </c>
      <c r="AC60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2" spans="1:29" x14ac:dyDescent="0.25">
      <c r="A602" t="s">
        <v>724</v>
      </c>
      <c r="B602" t="s">
        <v>724</v>
      </c>
      <c r="C602" t="s">
        <v>725</v>
      </c>
      <c r="D602" t="s">
        <v>680</v>
      </c>
      <c r="E602" t="s">
        <v>681</v>
      </c>
      <c r="F602" t="s">
        <v>569</v>
      </c>
      <c r="G602" t="s">
        <v>569</v>
      </c>
      <c r="H602" t="s">
        <v>569</v>
      </c>
      <c r="I602" t="s">
        <v>569</v>
      </c>
      <c r="J602" t="s">
        <v>569</v>
      </c>
      <c r="K602">
        <v>0</v>
      </c>
      <c r="L602" t="s">
        <v>569</v>
      </c>
      <c r="M602" t="s">
        <v>569</v>
      </c>
      <c r="N602" t="s">
        <v>569</v>
      </c>
      <c r="O602" t="s">
        <v>569</v>
      </c>
      <c r="P602" t="s">
        <v>569</v>
      </c>
      <c r="Q602" t="s">
        <v>569</v>
      </c>
      <c r="R602">
        <v>-17.69297873</v>
      </c>
      <c r="S602" t="s">
        <v>1111</v>
      </c>
      <c r="T602">
        <v>177.31266260000001</v>
      </c>
      <c r="U602" t="s">
        <v>1201</v>
      </c>
      <c r="V602" t="s">
        <v>569</v>
      </c>
      <c r="W602" t="s">
        <v>569</v>
      </c>
      <c r="X602" t="s">
        <v>569</v>
      </c>
      <c r="Y602" t="s">
        <v>569</v>
      </c>
      <c r="Z602" t="s">
        <v>569</v>
      </c>
      <c r="AA602" t="s">
        <v>1229</v>
      </c>
      <c r="AB602">
        <v>50</v>
      </c>
      <c r="AC60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3" spans="1:29" x14ac:dyDescent="0.25">
      <c r="A603" t="s">
        <v>863</v>
      </c>
      <c r="B603" t="s">
        <v>505</v>
      </c>
      <c r="C603" t="s">
        <v>504</v>
      </c>
      <c r="D603" t="s">
        <v>501</v>
      </c>
      <c r="E603" t="s">
        <v>502</v>
      </c>
      <c r="F603" t="s">
        <v>569</v>
      </c>
      <c r="G603" t="s">
        <v>569</v>
      </c>
      <c r="H603" t="s">
        <v>569</v>
      </c>
      <c r="I603" t="s">
        <v>569</v>
      </c>
      <c r="J603" t="s">
        <v>569</v>
      </c>
      <c r="K603">
        <v>0</v>
      </c>
      <c r="L603" t="s">
        <v>569</v>
      </c>
      <c r="M603" t="s">
        <v>569</v>
      </c>
      <c r="N603" t="s">
        <v>569</v>
      </c>
      <c r="O603" t="s">
        <v>569</v>
      </c>
      <c r="P603" t="s">
        <v>569</v>
      </c>
      <c r="Q603" t="s">
        <v>569</v>
      </c>
      <c r="R603">
        <v>48.47235757</v>
      </c>
      <c r="S603" t="s">
        <v>1213</v>
      </c>
      <c r="T603">
        <v>-123.40971620000001</v>
      </c>
      <c r="U603" t="s">
        <v>1206</v>
      </c>
      <c r="V603" t="s">
        <v>569</v>
      </c>
      <c r="W603" t="s">
        <v>569</v>
      </c>
      <c r="X603" t="s">
        <v>569</v>
      </c>
      <c r="Y603" t="s">
        <v>569</v>
      </c>
      <c r="Z603" t="s">
        <v>569</v>
      </c>
      <c r="AA603" t="s">
        <v>1229</v>
      </c>
      <c r="AB603">
        <v>50</v>
      </c>
      <c r="AC60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4" spans="1:29" x14ac:dyDescent="0.25">
      <c r="A604" t="s">
        <v>709</v>
      </c>
      <c r="B604" t="s">
        <v>708</v>
      </c>
      <c r="C604" t="s">
        <v>505</v>
      </c>
      <c r="D604" t="s">
        <v>522</v>
      </c>
      <c r="E604" t="s">
        <v>523</v>
      </c>
      <c r="F604" t="s">
        <v>569</v>
      </c>
      <c r="G604" t="s">
        <v>569</v>
      </c>
      <c r="H604" t="s">
        <v>569</v>
      </c>
      <c r="I604" t="s">
        <v>569</v>
      </c>
      <c r="J604" t="s">
        <v>569</v>
      </c>
      <c r="K604">
        <v>0</v>
      </c>
      <c r="L604" t="s">
        <v>569</v>
      </c>
      <c r="M604" t="s">
        <v>569</v>
      </c>
      <c r="N604" t="s">
        <v>569</v>
      </c>
      <c r="O604" t="s">
        <v>569</v>
      </c>
      <c r="P604" t="s">
        <v>569</v>
      </c>
      <c r="Q604" t="s">
        <v>569</v>
      </c>
      <c r="R604">
        <v>-37.578528570000003</v>
      </c>
      <c r="S604" t="s">
        <v>1111</v>
      </c>
      <c r="T604">
        <v>143.86546089999999</v>
      </c>
      <c r="U604" t="s">
        <v>1201</v>
      </c>
      <c r="V604" t="s">
        <v>569</v>
      </c>
      <c r="W604" t="s">
        <v>569</v>
      </c>
      <c r="X604" t="s">
        <v>569</v>
      </c>
      <c r="Y604" t="s">
        <v>569</v>
      </c>
      <c r="Z604" t="s">
        <v>569</v>
      </c>
      <c r="AA604" t="s">
        <v>1229</v>
      </c>
      <c r="AB604">
        <v>50</v>
      </c>
      <c r="AC60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5" spans="1:29" x14ac:dyDescent="0.25">
      <c r="A605" t="s">
        <v>738</v>
      </c>
      <c r="B605" t="s">
        <v>726</v>
      </c>
      <c r="C605" t="s">
        <v>728</v>
      </c>
      <c r="D605" t="s">
        <v>652</v>
      </c>
      <c r="E605" t="s">
        <v>653</v>
      </c>
      <c r="F605" t="s">
        <v>569</v>
      </c>
      <c r="G605" t="s">
        <v>569</v>
      </c>
      <c r="H605" t="s">
        <v>569</v>
      </c>
      <c r="I605" t="s">
        <v>569</v>
      </c>
      <c r="J605" t="s">
        <v>569</v>
      </c>
      <c r="K605">
        <v>0</v>
      </c>
      <c r="L605" t="s">
        <v>569</v>
      </c>
      <c r="M605" t="s">
        <v>569</v>
      </c>
      <c r="N605" t="s">
        <v>569</v>
      </c>
      <c r="O605" t="s">
        <v>569</v>
      </c>
      <c r="P605" t="s">
        <v>569</v>
      </c>
      <c r="Q605" t="s">
        <v>569</v>
      </c>
      <c r="R605">
        <v>47.621206829999998</v>
      </c>
      <c r="S605" t="s">
        <v>1213</v>
      </c>
      <c r="T605">
        <v>-122.34950069999999</v>
      </c>
      <c r="U605" t="s">
        <v>1206</v>
      </c>
      <c r="V605" t="s">
        <v>569</v>
      </c>
      <c r="W605" t="s">
        <v>569</v>
      </c>
      <c r="X605" t="s">
        <v>569</v>
      </c>
      <c r="Y605" t="s">
        <v>569</v>
      </c>
      <c r="Z605" t="s">
        <v>569</v>
      </c>
      <c r="AA605" t="s">
        <v>1229</v>
      </c>
      <c r="AB605">
        <v>50</v>
      </c>
      <c r="AC60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6" spans="1:29" x14ac:dyDescent="0.25">
      <c r="A606" t="s">
        <v>735</v>
      </c>
      <c r="B606" t="s">
        <v>726</v>
      </c>
      <c r="C606" t="s">
        <v>728</v>
      </c>
      <c r="D606" t="s">
        <v>652</v>
      </c>
      <c r="E606" t="s">
        <v>653</v>
      </c>
      <c r="F606" t="s">
        <v>569</v>
      </c>
      <c r="G606" t="s">
        <v>569</v>
      </c>
      <c r="H606" t="s">
        <v>569</v>
      </c>
      <c r="I606" t="s">
        <v>569</v>
      </c>
      <c r="J606" t="s">
        <v>569</v>
      </c>
      <c r="K606">
        <v>0</v>
      </c>
      <c r="L606" t="s">
        <v>569</v>
      </c>
      <c r="M606" t="s">
        <v>569</v>
      </c>
      <c r="N606" t="s">
        <v>569</v>
      </c>
      <c r="O606" t="s">
        <v>569</v>
      </c>
      <c r="P606" t="s">
        <v>569</v>
      </c>
      <c r="Q606" t="s">
        <v>569</v>
      </c>
      <c r="R606">
        <v>47.621206829999998</v>
      </c>
      <c r="S606" t="s">
        <v>1213</v>
      </c>
      <c r="T606">
        <v>-122.34950069999999</v>
      </c>
      <c r="U606" t="s">
        <v>1206</v>
      </c>
      <c r="V606" t="s">
        <v>569</v>
      </c>
      <c r="W606" t="s">
        <v>569</v>
      </c>
      <c r="X606" t="s">
        <v>569</v>
      </c>
      <c r="Y606" t="s">
        <v>569</v>
      </c>
      <c r="Z606" s="9">
        <v>0</v>
      </c>
      <c r="AA606" t="s">
        <v>1229</v>
      </c>
      <c r="AB606">
        <v>50</v>
      </c>
      <c r="AC60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7" spans="1:29" x14ac:dyDescent="0.25">
      <c r="A607" t="s">
        <v>565</v>
      </c>
      <c r="B607" t="s">
        <v>505</v>
      </c>
      <c r="C607" t="s">
        <v>504</v>
      </c>
      <c r="D607" t="s">
        <v>501</v>
      </c>
      <c r="E607" t="s">
        <v>502</v>
      </c>
      <c r="F607" t="s">
        <v>569</v>
      </c>
      <c r="G607" t="s">
        <v>569</v>
      </c>
      <c r="H607" t="s">
        <v>569</v>
      </c>
      <c r="I607" t="s">
        <v>569</v>
      </c>
      <c r="J607" t="s">
        <v>569</v>
      </c>
      <c r="K607">
        <v>0</v>
      </c>
      <c r="L607" t="s">
        <v>569</v>
      </c>
      <c r="M607" t="s">
        <v>569</v>
      </c>
      <c r="N607" t="s">
        <v>569</v>
      </c>
      <c r="O607" t="s">
        <v>569</v>
      </c>
      <c r="P607" t="s">
        <v>569</v>
      </c>
      <c r="Q607" t="s">
        <v>569</v>
      </c>
      <c r="R607">
        <v>48.429091990000003</v>
      </c>
      <c r="S607" t="s">
        <v>1213</v>
      </c>
      <c r="T607">
        <v>-123.3851311</v>
      </c>
      <c r="U607" t="s">
        <v>1206</v>
      </c>
      <c r="V607" t="s">
        <v>569</v>
      </c>
      <c r="W607" t="s">
        <v>569</v>
      </c>
      <c r="X607" t="s">
        <v>569</v>
      </c>
      <c r="Y607" t="s">
        <v>569</v>
      </c>
      <c r="Z607" t="s">
        <v>569</v>
      </c>
      <c r="AA607" t="s">
        <v>1230</v>
      </c>
      <c r="AB607">
        <v>50</v>
      </c>
      <c r="AC60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8" spans="1:29" x14ac:dyDescent="0.25">
      <c r="A608" t="s">
        <v>1498</v>
      </c>
      <c r="B608" t="s">
        <v>505</v>
      </c>
      <c r="C608" t="s">
        <v>504</v>
      </c>
      <c r="D608" t="s">
        <v>501</v>
      </c>
      <c r="E608" t="s">
        <v>502</v>
      </c>
      <c r="F608" t="s">
        <v>569</v>
      </c>
      <c r="G608" t="s">
        <v>569</v>
      </c>
      <c r="H608" t="s">
        <v>569</v>
      </c>
      <c r="I608" t="s">
        <v>569</v>
      </c>
      <c r="J608" t="s">
        <v>569</v>
      </c>
      <c r="K608" t="s">
        <v>569</v>
      </c>
      <c r="L608" t="s">
        <v>569</v>
      </c>
      <c r="M608" t="s">
        <v>569</v>
      </c>
      <c r="N608" t="s">
        <v>569</v>
      </c>
      <c r="O608" t="s">
        <v>569</v>
      </c>
      <c r="P608" t="s">
        <v>569</v>
      </c>
      <c r="Q608" t="s">
        <v>569</v>
      </c>
      <c r="R608" t="s">
        <v>569</v>
      </c>
      <c r="S608" t="s">
        <v>569</v>
      </c>
      <c r="T608" t="s">
        <v>569</v>
      </c>
      <c r="U608" t="s">
        <v>569</v>
      </c>
      <c r="V608" t="s">
        <v>569</v>
      </c>
      <c r="W608" t="s">
        <v>569</v>
      </c>
      <c r="X608" t="s">
        <v>569</v>
      </c>
      <c r="Y608" t="s">
        <v>569</v>
      </c>
      <c r="Z608" t="s">
        <v>569</v>
      </c>
      <c r="AA608" t="s">
        <v>569</v>
      </c>
      <c r="AB608">
        <v>50</v>
      </c>
      <c r="AC60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09" spans="1:29" x14ac:dyDescent="0.25">
      <c r="A609" t="s">
        <v>1417</v>
      </c>
      <c r="B609" t="s">
        <v>505</v>
      </c>
      <c r="C609" t="s">
        <v>504</v>
      </c>
      <c r="D609" t="s">
        <v>501</v>
      </c>
      <c r="E609" t="s">
        <v>502</v>
      </c>
      <c r="F609" t="s">
        <v>569</v>
      </c>
      <c r="G609" t="s">
        <v>569</v>
      </c>
      <c r="H609" t="s">
        <v>569</v>
      </c>
      <c r="I609" t="s">
        <v>569</v>
      </c>
      <c r="J609" t="s">
        <v>569</v>
      </c>
      <c r="K609" t="s">
        <v>569</v>
      </c>
      <c r="L609" t="s">
        <v>569</v>
      </c>
      <c r="M609" t="s">
        <v>569</v>
      </c>
      <c r="N609" t="s">
        <v>569</v>
      </c>
      <c r="O609" t="s">
        <v>569</v>
      </c>
      <c r="P609" t="s">
        <v>569</v>
      </c>
      <c r="Q609" t="s">
        <v>569</v>
      </c>
      <c r="R609" t="s">
        <v>569</v>
      </c>
      <c r="S609" t="s">
        <v>569</v>
      </c>
      <c r="T609" t="s">
        <v>569</v>
      </c>
      <c r="U609" t="s">
        <v>569</v>
      </c>
      <c r="V609" t="s">
        <v>569</v>
      </c>
      <c r="W609" t="s">
        <v>569</v>
      </c>
      <c r="X609" t="s">
        <v>569</v>
      </c>
      <c r="Y609" t="s">
        <v>569</v>
      </c>
      <c r="Z609" t="s">
        <v>569</v>
      </c>
      <c r="AA609" t="s">
        <v>569</v>
      </c>
      <c r="AB609">
        <v>50</v>
      </c>
      <c r="AC60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0" spans="1:29" x14ac:dyDescent="0.25">
      <c r="A610" t="s">
        <v>1386</v>
      </c>
      <c r="B610" t="s">
        <v>526</v>
      </c>
      <c r="C610" t="s">
        <v>504</v>
      </c>
      <c r="D610" t="s">
        <v>501</v>
      </c>
      <c r="E610" t="s">
        <v>502</v>
      </c>
      <c r="F610" t="s">
        <v>569</v>
      </c>
      <c r="G610" t="s">
        <v>569</v>
      </c>
      <c r="H610" t="s">
        <v>569</v>
      </c>
      <c r="I610" t="s">
        <v>569</v>
      </c>
      <c r="J610" t="s">
        <v>569</v>
      </c>
      <c r="K610" t="s">
        <v>569</v>
      </c>
      <c r="L610" t="s">
        <v>569</v>
      </c>
      <c r="M610" t="s">
        <v>569</v>
      </c>
      <c r="N610" t="s">
        <v>569</v>
      </c>
      <c r="O610" t="s">
        <v>569</v>
      </c>
      <c r="P610" t="s">
        <v>569</v>
      </c>
      <c r="Q610" t="s">
        <v>569</v>
      </c>
      <c r="R610" t="s">
        <v>569</v>
      </c>
      <c r="S610" t="s">
        <v>569</v>
      </c>
      <c r="T610" t="s">
        <v>569</v>
      </c>
      <c r="U610" t="s">
        <v>569</v>
      </c>
      <c r="V610" t="s">
        <v>569</v>
      </c>
      <c r="W610" t="s">
        <v>569</v>
      </c>
      <c r="X610" t="s">
        <v>569</v>
      </c>
      <c r="Y610" t="s">
        <v>569</v>
      </c>
      <c r="Z610" t="s">
        <v>569</v>
      </c>
      <c r="AA610" t="s">
        <v>569</v>
      </c>
      <c r="AB610">
        <v>50</v>
      </c>
      <c r="AC610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1" spans="1:29" x14ac:dyDescent="0.25">
      <c r="A611" t="s">
        <v>669</v>
      </c>
      <c r="B611" t="s">
        <v>505</v>
      </c>
      <c r="C611" t="s">
        <v>504</v>
      </c>
      <c r="D611" t="s">
        <v>501</v>
      </c>
      <c r="E611" t="s">
        <v>502</v>
      </c>
      <c r="F611" t="s">
        <v>569</v>
      </c>
      <c r="G611" t="s">
        <v>569</v>
      </c>
      <c r="H611" t="s">
        <v>569</v>
      </c>
      <c r="I611" t="s">
        <v>569</v>
      </c>
      <c r="J611" t="s">
        <v>569</v>
      </c>
      <c r="K611">
        <v>0</v>
      </c>
      <c r="L611" t="s">
        <v>569</v>
      </c>
      <c r="M611" t="s">
        <v>569</v>
      </c>
      <c r="N611" t="s">
        <v>569</v>
      </c>
      <c r="O611" t="s">
        <v>569</v>
      </c>
      <c r="P611" t="s">
        <v>569</v>
      </c>
      <c r="Q611" t="s">
        <v>569</v>
      </c>
      <c r="R611">
        <v>48.419118959999999</v>
      </c>
      <c r="S611" t="s">
        <v>1213</v>
      </c>
      <c r="T611">
        <v>-123.3639979</v>
      </c>
      <c r="U611" t="s">
        <v>1206</v>
      </c>
      <c r="V611" t="s">
        <v>569</v>
      </c>
      <c r="W611" t="s">
        <v>569</v>
      </c>
      <c r="X611" t="s">
        <v>569</v>
      </c>
      <c r="Y611" t="s">
        <v>569</v>
      </c>
      <c r="Z611" t="s">
        <v>569</v>
      </c>
      <c r="AA611" t="s">
        <v>1229</v>
      </c>
      <c r="AB611">
        <v>50</v>
      </c>
      <c r="AC61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2" spans="1:29" x14ac:dyDescent="0.25">
      <c r="A612" t="s">
        <v>818</v>
      </c>
      <c r="B612" t="s">
        <v>505</v>
      </c>
      <c r="C612" t="s">
        <v>504</v>
      </c>
      <c r="D612" t="s">
        <v>501</v>
      </c>
      <c r="E612" t="s">
        <v>502</v>
      </c>
      <c r="F612" t="s">
        <v>569</v>
      </c>
      <c r="G612" t="s">
        <v>569</v>
      </c>
      <c r="H612" t="s">
        <v>569</v>
      </c>
      <c r="I612" t="s">
        <v>569</v>
      </c>
      <c r="J612" t="s">
        <v>569</v>
      </c>
      <c r="K612">
        <v>0</v>
      </c>
      <c r="L612" t="s">
        <v>569</v>
      </c>
      <c r="M612" t="s">
        <v>569</v>
      </c>
      <c r="N612" t="s">
        <v>569</v>
      </c>
      <c r="O612" t="s">
        <v>569</v>
      </c>
      <c r="P612" t="s">
        <v>569</v>
      </c>
      <c r="Q612" t="s">
        <v>569</v>
      </c>
      <c r="R612">
        <v>48.462809219999997</v>
      </c>
      <c r="S612" t="s">
        <v>1213</v>
      </c>
      <c r="T612">
        <v>-123.2942015</v>
      </c>
      <c r="U612" t="s">
        <v>1206</v>
      </c>
      <c r="V612" t="s">
        <v>569</v>
      </c>
      <c r="W612" t="s">
        <v>569</v>
      </c>
      <c r="X612" t="s">
        <v>569</v>
      </c>
      <c r="Y612" t="s">
        <v>569</v>
      </c>
      <c r="Z612" t="s">
        <v>569</v>
      </c>
      <c r="AA612" t="s">
        <v>1229</v>
      </c>
      <c r="AB612">
        <v>50</v>
      </c>
      <c r="AC61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3" spans="1:29" x14ac:dyDescent="0.25">
      <c r="A613" t="s">
        <v>749</v>
      </c>
      <c r="B613" t="s">
        <v>513</v>
      </c>
      <c r="C613" t="s">
        <v>504</v>
      </c>
      <c r="D613" t="s">
        <v>501</v>
      </c>
      <c r="E613" t="s">
        <v>502</v>
      </c>
      <c r="F613" t="s">
        <v>569</v>
      </c>
      <c r="G613" t="s">
        <v>569</v>
      </c>
      <c r="H613" t="s">
        <v>569</v>
      </c>
      <c r="I613" t="s">
        <v>569</v>
      </c>
      <c r="J613" t="s">
        <v>569</v>
      </c>
      <c r="K613">
        <v>0</v>
      </c>
      <c r="L613" t="s">
        <v>569</v>
      </c>
      <c r="M613" t="s">
        <v>569</v>
      </c>
      <c r="N613" t="s">
        <v>569</v>
      </c>
      <c r="O613" t="s">
        <v>569</v>
      </c>
      <c r="P613" t="s">
        <v>569</v>
      </c>
      <c r="Q613" t="s">
        <v>569</v>
      </c>
      <c r="R613">
        <v>49.300809399999999</v>
      </c>
      <c r="S613" t="s">
        <v>1213</v>
      </c>
      <c r="T613">
        <v>-123.1309462</v>
      </c>
      <c r="U613" t="s">
        <v>1206</v>
      </c>
      <c r="V613" t="s">
        <v>569</v>
      </c>
      <c r="W613" t="s">
        <v>569</v>
      </c>
      <c r="X613" t="s">
        <v>569</v>
      </c>
      <c r="Y613" t="s">
        <v>569</v>
      </c>
      <c r="Z613" s="9">
        <v>0</v>
      </c>
      <c r="AA613" t="s">
        <v>1229</v>
      </c>
      <c r="AB613">
        <v>50</v>
      </c>
      <c r="AC61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4" spans="1:29" x14ac:dyDescent="0.25">
      <c r="A614" t="s">
        <v>1363</v>
      </c>
      <c r="B614" t="s">
        <v>500</v>
      </c>
      <c r="C614" t="s">
        <v>504</v>
      </c>
      <c r="D614" t="s">
        <v>501</v>
      </c>
      <c r="E614" t="s">
        <v>502</v>
      </c>
      <c r="F614" t="s">
        <v>569</v>
      </c>
      <c r="G614" t="s">
        <v>569</v>
      </c>
      <c r="H614" t="s">
        <v>569</v>
      </c>
      <c r="I614" t="s">
        <v>569</v>
      </c>
      <c r="J614" t="s">
        <v>569</v>
      </c>
      <c r="K614" t="s">
        <v>569</v>
      </c>
      <c r="L614" t="s">
        <v>569</v>
      </c>
      <c r="M614" t="s">
        <v>569</v>
      </c>
      <c r="N614" t="s">
        <v>569</v>
      </c>
      <c r="O614" t="s">
        <v>569</v>
      </c>
      <c r="P614" t="s">
        <v>569</v>
      </c>
      <c r="Q614" t="s">
        <v>569</v>
      </c>
      <c r="R614" t="s">
        <v>569</v>
      </c>
      <c r="S614" t="s">
        <v>569</v>
      </c>
      <c r="T614" t="s">
        <v>569</v>
      </c>
      <c r="U614" t="s">
        <v>569</v>
      </c>
      <c r="V614" t="s">
        <v>569</v>
      </c>
      <c r="W614" t="s">
        <v>569</v>
      </c>
      <c r="X614" t="s">
        <v>569</v>
      </c>
      <c r="Y614" t="s">
        <v>569</v>
      </c>
      <c r="Z614" t="s">
        <v>569</v>
      </c>
      <c r="AA614" t="s">
        <v>569</v>
      </c>
      <c r="AB614">
        <v>50</v>
      </c>
      <c r="AC61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5" spans="1:29" x14ac:dyDescent="0.25">
      <c r="A615" t="s">
        <v>527</v>
      </c>
      <c r="B615" t="s">
        <v>526</v>
      </c>
      <c r="C615" t="s">
        <v>504</v>
      </c>
      <c r="D615" t="s">
        <v>501</v>
      </c>
      <c r="E615" t="s">
        <v>502</v>
      </c>
      <c r="F615" t="s">
        <v>569</v>
      </c>
      <c r="G615" t="s">
        <v>569</v>
      </c>
      <c r="H615" t="s">
        <v>569</v>
      </c>
      <c r="I615" t="s">
        <v>569</v>
      </c>
      <c r="J615" t="s">
        <v>569</v>
      </c>
      <c r="K615">
        <v>0</v>
      </c>
      <c r="L615" t="s">
        <v>569</v>
      </c>
      <c r="M615" t="s">
        <v>569</v>
      </c>
      <c r="N615" t="s">
        <v>569</v>
      </c>
      <c r="O615" t="s">
        <v>569</v>
      </c>
      <c r="P615" t="s">
        <v>569</v>
      </c>
      <c r="Q615" t="s">
        <v>569</v>
      </c>
      <c r="R615">
        <v>49.693049819999999</v>
      </c>
      <c r="S615" t="s">
        <v>1213</v>
      </c>
      <c r="T615">
        <v>-123.13292029999999</v>
      </c>
      <c r="U615" t="s">
        <v>1206</v>
      </c>
      <c r="V615" t="s">
        <v>569</v>
      </c>
      <c r="W615" t="s">
        <v>569</v>
      </c>
      <c r="X615" t="s">
        <v>569</v>
      </c>
      <c r="Y615" t="s">
        <v>569</v>
      </c>
      <c r="Z615" t="s">
        <v>569</v>
      </c>
      <c r="AA615" t="s">
        <v>1229</v>
      </c>
      <c r="AB615">
        <v>50</v>
      </c>
      <c r="AC61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6" spans="1:29" x14ac:dyDescent="0.25">
      <c r="A616" t="s">
        <v>671</v>
      </c>
      <c r="B616" t="s">
        <v>505</v>
      </c>
      <c r="C616" t="s">
        <v>504</v>
      </c>
      <c r="D616" t="s">
        <v>501</v>
      </c>
      <c r="E616" t="s">
        <v>502</v>
      </c>
      <c r="F616" t="s">
        <v>569</v>
      </c>
      <c r="G616" t="s">
        <v>569</v>
      </c>
      <c r="H616" t="s">
        <v>569</v>
      </c>
      <c r="I616" t="s">
        <v>569</v>
      </c>
      <c r="J616" t="s">
        <v>569</v>
      </c>
      <c r="K616">
        <v>0</v>
      </c>
      <c r="L616" t="s">
        <v>569</v>
      </c>
      <c r="M616" t="s">
        <v>569</v>
      </c>
      <c r="N616" t="s">
        <v>569</v>
      </c>
      <c r="O616" t="s">
        <v>569</v>
      </c>
      <c r="P616" t="s">
        <v>569</v>
      </c>
      <c r="Q616" t="s">
        <v>569</v>
      </c>
      <c r="R616">
        <v>48.42599688</v>
      </c>
      <c r="S616" t="s">
        <v>1213</v>
      </c>
      <c r="T616">
        <v>-123.36384769999999</v>
      </c>
      <c r="U616" t="s">
        <v>1206</v>
      </c>
      <c r="V616" t="s">
        <v>569</v>
      </c>
      <c r="W616" t="s">
        <v>569</v>
      </c>
      <c r="X616" t="s">
        <v>569</v>
      </c>
      <c r="Y616" t="s">
        <v>569</v>
      </c>
      <c r="Z616" s="9">
        <v>0</v>
      </c>
      <c r="AA616" t="s">
        <v>1229</v>
      </c>
      <c r="AB616">
        <v>50</v>
      </c>
      <c r="AC61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7" spans="1:29" x14ac:dyDescent="0.25">
      <c r="A617" t="s">
        <v>562</v>
      </c>
      <c r="B617" t="s">
        <v>505</v>
      </c>
      <c r="C617" t="s">
        <v>504</v>
      </c>
      <c r="D617" t="s">
        <v>501</v>
      </c>
      <c r="E617" t="s">
        <v>502</v>
      </c>
      <c r="F617" t="s">
        <v>569</v>
      </c>
      <c r="G617" t="s">
        <v>569</v>
      </c>
      <c r="H617" t="s">
        <v>569</v>
      </c>
      <c r="I617" t="s">
        <v>569</v>
      </c>
      <c r="J617" t="s">
        <v>569</v>
      </c>
      <c r="K617">
        <v>0</v>
      </c>
      <c r="L617" t="s">
        <v>569</v>
      </c>
      <c r="M617" t="s">
        <v>569</v>
      </c>
      <c r="N617" t="s">
        <v>569</v>
      </c>
      <c r="O617" t="s">
        <v>569</v>
      </c>
      <c r="P617" t="s">
        <v>569</v>
      </c>
      <c r="Q617" t="s">
        <v>569</v>
      </c>
      <c r="R617">
        <v>48.4456287</v>
      </c>
      <c r="S617" t="s">
        <v>1213</v>
      </c>
      <c r="T617">
        <v>-123.35429910000001</v>
      </c>
      <c r="U617" t="s">
        <v>1206</v>
      </c>
      <c r="V617" t="s">
        <v>569</v>
      </c>
      <c r="W617" t="s">
        <v>569</v>
      </c>
      <c r="X617" t="s">
        <v>569</v>
      </c>
      <c r="Y617" t="s">
        <v>569</v>
      </c>
      <c r="Z617" t="s">
        <v>569</v>
      </c>
      <c r="AA617" t="s">
        <v>1229</v>
      </c>
      <c r="AB617">
        <v>50</v>
      </c>
      <c r="AC61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8" spans="1:29" x14ac:dyDescent="0.25">
      <c r="A618" t="s">
        <v>590</v>
      </c>
      <c r="B618" t="s">
        <v>513</v>
      </c>
      <c r="C618" t="s">
        <v>504</v>
      </c>
      <c r="D618" t="s">
        <v>501</v>
      </c>
      <c r="E618" t="s">
        <v>502</v>
      </c>
      <c r="F618" t="s">
        <v>569</v>
      </c>
      <c r="G618" t="s">
        <v>569</v>
      </c>
      <c r="H618" t="s">
        <v>569</v>
      </c>
      <c r="I618" t="s">
        <v>569</v>
      </c>
      <c r="J618" t="s">
        <v>569</v>
      </c>
      <c r="K618">
        <v>0</v>
      </c>
      <c r="L618" t="s">
        <v>569</v>
      </c>
      <c r="M618" t="s">
        <v>569</v>
      </c>
      <c r="N618" t="s">
        <v>569</v>
      </c>
      <c r="O618" t="s">
        <v>569</v>
      </c>
      <c r="P618" t="s">
        <v>569</v>
      </c>
      <c r="Q618" t="s">
        <v>569</v>
      </c>
      <c r="R618">
        <v>49.277688730000001</v>
      </c>
      <c r="S618" t="s">
        <v>1213</v>
      </c>
      <c r="T618">
        <v>-123.1360531</v>
      </c>
      <c r="U618" t="s">
        <v>1206</v>
      </c>
      <c r="V618" t="s">
        <v>569</v>
      </c>
      <c r="W618" t="s">
        <v>569</v>
      </c>
      <c r="X618" t="s">
        <v>569</v>
      </c>
      <c r="Y618" t="s">
        <v>569</v>
      </c>
      <c r="Z618" t="s">
        <v>569</v>
      </c>
      <c r="AA618" t="s">
        <v>1229</v>
      </c>
      <c r="AB618">
        <v>50</v>
      </c>
      <c r="AC61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19" spans="1:29" x14ac:dyDescent="0.25">
      <c r="A619" t="s">
        <v>827</v>
      </c>
      <c r="B619" t="s">
        <v>557</v>
      </c>
      <c r="C619" t="s">
        <v>504</v>
      </c>
      <c r="D619" t="s">
        <v>501</v>
      </c>
      <c r="E619" t="s">
        <v>502</v>
      </c>
      <c r="F619" t="s">
        <v>569</v>
      </c>
      <c r="G619" t="s">
        <v>569</v>
      </c>
      <c r="H619" t="s">
        <v>569</v>
      </c>
      <c r="I619" t="s">
        <v>569</v>
      </c>
      <c r="J619" t="s">
        <v>569</v>
      </c>
      <c r="K619">
        <v>0</v>
      </c>
      <c r="L619" t="s">
        <v>569</v>
      </c>
      <c r="M619" t="s">
        <v>569</v>
      </c>
      <c r="N619" t="s">
        <v>569</v>
      </c>
      <c r="O619" t="s">
        <v>569</v>
      </c>
      <c r="P619" t="s">
        <v>569</v>
      </c>
      <c r="Q619" t="s">
        <v>569</v>
      </c>
      <c r="R619">
        <v>49.893628339999999</v>
      </c>
      <c r="S619" t="s">
        <v>1213</v>
      </c>
      <c r="T619">
        <v>-124.5537052</v>
      </c>
      <c r="U619" t="s">
        <v>1206</v>
      </c>
      <c r="V619" t="s">
        <v>569</v>
      </c>
      <c r="W619" t="s">
        <v>569</v>
      </c>
      <c r="X619" t="s">
        <v>569</v>
      </c>
      <c r="Y619" t="s">
        <v>569</v>
      </c>
      <c r="Z619" t="s">
        <v>569</v>
      </c>
      <c r="AA619" t="s">
        <v>1229</v>
      </c>
      <c r="AB619">
        <v>50</v>
      </c>
      <c r="AC61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0" spans="1:29" x14ac:dyDescent="0.25">
      <c r="A620" t="s">
        <v>578</v>
      </c>
      <c r="B620" t="s">
        <v>505</v>
      </c>
      <c r="C620" t="s">
        <v>504</v>
      </c>
      <c r="D620" t="s">
        <v>501</v>
      </c>
      <c r="E620" t="s">
        <v>502</v>
      </c>
      <c r="F620" t="s">
        <v>569</v>
      </c>
      <c r="G620" t="s">
        <v>569</v>
      </c>
      <c r="H620" t="s">
        <v>569</v>
      </c>
      <c r="I620" t="s">
        <v>569</v>
      </c>
      <c r="J620" t="s">
        <v>569</v>
      </c>
      <c r="K620">
        <v>0</v>
      </c>
      <c r="L620" t="s">
        <v>569</v>
      </c>
      <c r="M620" t="s">
        <v>569</v>
      </c>
      <c r="N620" t="s">
        <v>569</v>
      </c>
      <c r="O620" t="s">
        <v>569</v>
      </c>
      <c r="P620" t="s">
        <v>569</v>
      </c>
      <c r="Q620" t="s">
        <v>569</v>
      </c>
      <c r="R620">
        <v>48.46363092</v>
      </c>
      <c r="S620" t="s">
        <v>1213</v>
      </c>
      <c r="T620">
        <v>-123.3682144</v>
      </c>
      <c r="U620" t="s">
        <v>1206</v>
      </c>
      <c r="V620" t="s">
        <v>569</v>
      </c>
      <c r="W620" t="s">
        <v>569</v>
      </c>
      <c r="X620" t="s">
        <v>569</v>
      </c>
      <c r="Y620" t="s">
        <v>569</v>
      </c>
      <c r="Z620" t="s">
        <v>569</v>
      </c>
      <c r="AA620" t="s">
        <v>1229</v>
      </c>
      <c r="AB620">
        <v>50</v>
      </c>
      <c r="AC62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1" spans="1:29" x14ac:dyDescent="0.25">
      <c r="A621" t="s">
        <v>990</v>
      </c>
      <c r="B621" t="s">
        <v>505</v>
      </c>
      <c r="C621" t="s">
        <v>504</v>
      </c>
      <c r="D621" t="s">
        <v>501</v>
      </c>
      <c r="E621" t="s">
        <v>502</v>
      </c>
      <c r="F621" t="s">
        <v>569</v>
      </c>
      <c r="G621" t="s">
        <v>569</v>
      </c>
      <c r="H621" t="s">
        <v>569</v>
      </c>
      <c r="I621" t="s">
        <v>569</v>
      </c>
      <c r="J621" t="s">
        <v>569</v>
      </c>
      <c r="K621" t="s">
        <v>569</v>
      </c>
      <c r="L621" t="s">
        <v>569</v>
      </c>
      <c r="M621" t="s">
        <v>569</v>
      </c>
      <c r="N621" t="s">
        <v>569</v>
      </c>
      <c r="O621" t="s">
        <v>569</v>
      </c>
      <c r="P621" t="s">
        <v>569</v>
      </c>
      <c r="Q621" t="s">
        <v>569</v>
      </c>
      <c r="R621" s="4">
        <v>48.686353833202098</v>
      </c>
      <c r="S621" t="s">
        <v>1213</v>
      </c>
      <c r="T621" s="4">
        <v>-123.411706958965</v>
      </c>
      <c r="U621" t="s">
        <v>1206</v>
      </c>
      <c r="V621" t="s">
        <v>569</v>
      </c>
      <c r="W621" t="s">
        <v>569</v>
      </c>
      <c r="X621" t="s">
        <v>569</v>
      </c>
      <c r="Y621" t="s">
        <v>569</v>
      </c>
      <c r="Z621" t="s">
        <v>569</v>
      </c>
      <c r="AA621" t="s">
        <v>569</v>
      </c>
      <c r="AB621">
        <v>50</v>
      </c>
      <c r="AC62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2" spans="1:29" x14ac:dyDescent="0.25">
      <c r="A622" t="s">
        <v>913</v>
      </c>
      <c r="B622" t="s">
        <v>505</v>
      </c>
      <c r="C622" t="s">
        <v>504</v>
      </c>
      <c r="D622" t="s">
        <v>501</v>
      </c>
      <c r="E622" t="s">
        <v>502</v>
      </c>
      <c r="F622" t="s">
        <v>569</v>
      </c>
      <c r="G622" t="s">
        <v>569</v>
      </c>
      <c r="H622" t="s">
        <v>569</v>
      </c>
      <c r="I622" t="s">
        <v>569</v>
      </c>
      <c r="J622" t="s">
        <v>569</v>
      </c>
      <c r="K622">
        <v>0</v>
      </c>
      <c r="L622" t="s">
        <v>569</v>
      </c>
      <c r="M622" t="s">
        <v>569</v>
      </c>
      <c r="N622" t="s">
        <v>569</v>
      </c>
      <c r="O622" t="s">
        <v>569</v>
      </c>
      <c r="P622" t="s">
        <v>569</v>
      </c>
      <c r="Q622" t="s">
        <v>569</v>
      </c>
      <c r="R622">
        <v>48.952130580000002</v>
      </c>
      <c r="S622" t="s">
        <v>1213</v>
      </c>
      <c r="T622">
        <v>-123.200467</v>
      </c>
      <c r="U622" t="s">
        <v>1206</v>
      </c>
      <c r="V622" t="s">
        <v>569</v>
      </c>
      <c r="W622" t="s">
        <v>569</v>
      </c>
      <c r="X622" t="s">
        <v>569</v>
      </c>
      <c r="Y622" t="s">
        <v>569</v>
      </c>
      <c r="Z622" t="s">
        <v>569</v>
      </c>
      <c r="AA622" t="s">
        <v>1229</v>
      </c>
      <c r="AB622">
        <v>50</v>
      </c>
      <c r="AC62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3" spans="1:29" x14ac:dyDescent="0.25">
      <c r="A623" t="s">
        <v>1495</v>
      </c>
      <c r="B623" t="s">
        <v>505</v>
      </c>
      <c r="C623" t="s">
        <v>504</v>
      </c>
      <c r="D623" t="s">
        <v>501</v>
      </c>
      <c r="E623" t="s">
        <v>502</v>
      </c>
      <c r="F623" t="s">
        <v>569</v>
      </c>
      <c r="G623" t="s">
        <v>569</v>
      </c>
      <c r="H623" t="s">
        <v>569</v>
      </c>
      <c r="I623" t="s">
        <v>569</v>
      </c>
      <c r="J623" t="s">
        <v>569</v>
      </c>
      <c r="K623" t="s">
        <v>569</v>
      </c>
      <c r="L623" t="s">
        <v>569</v>
      </c>
      <c r="M623" t="s">
        <v>569</v>
      </c>
      <c r="N623" t="s">
        <v>569</v>
      </c>
      <c r="O623" t="s">
        <v>569</v>
      </c>
      <c r="P623" t="s">
        <v>569</v>
      </c>
      <c r="Q623" t="s">
        <v>569</v>
      </c>
      <c r="R623" t="s">
        <v>569</v>
      </c>
      <c r="S623" t="s">
        <v>569</v>
      </c>
      <c r="T623" t="s">
        <v>569</v>
      </c>
      <c r="U623" t="s">
        <v>569</v>
      </c>
      <c r="V623" t="s">
        <v>569</v>
      </c>
      <c r="W623" t="s">
        <v>569</v>
      </c>
      <c r="X623" t="s">
        <v>569</v>
      </c>
      <c r="Y623" t="s">
        <v>569</v>
      </c>
      <c r="Z623" t="s">
        <v>569</v>
      </c>
      <c r="AA623" t="s">
        <v>569</v>
      </c>
      <c r="AB623">
        <v>50</v>
      </c>
      <c r="AC62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4" spans="1:29" x14ac:dyDescent="0.25">
      <c r="A624" t="s">
        <v>971</v>
      </c>
      <c r="B624" t="s">
        <v>970</v>
      </c>
      <c r="C624" t="s">
        <v>707</v>
      </c>
      <c r="D624" t="s">
        <v>522</v>
      </c>
      <c r="E624" t="s">
        <v>523</v>
      </c>
      <c r="F624" t="s">
        <v>569</v>
      </c>
      <c r="G624" t="s">
        <v>569</v>
      </c>
      <c r="H624" t="s">
        <v>569</v>
      </c>
      <c r="I624" t="s">
        <v>569</v>
      </c>
      <c r="J624" t="s">
        <v>569</v>
      </c>
      <c r="K624">
        <v>0</v>
      </c>
      <c r="L624" t="s">
        <v>569</v>
      </c>
      <c r="M624" t="s">
        <v>569</v>
      </c>
      <c r="N624" t="s">
        <v>569</v>
      </c>
      <c r="O624" t="s">
        <v>569</v>
      </c>
      <c r="P624" t="s">
        <v>569</v>
      </c>
      <c r="Q624" t="s">
        <v>569</v>
      </c>
      <c r="R624">
        <v>-16.377071669999999</v>
      </c>
      <c r="S624" t="s">
        <v>1111</v>
      </c>
      <c r="T624">
        <v>145.36595170000001</v>
      </c>
      <c r="U624" t="s">
        <v>1201</v>
      </c>
      <c r="V624" t="s">
        <v>569</v>
      </c>
      <c r="W624" t="s">
        <v>569</v>
      </c>
      <c r="X624" t="s">
        <v>569</v>
      </c>
      <c r="Y624" t="s">
        <v>569</v>
      </c>
      <c r="Z624" t="s">
        <v>569</v>
      </c>
      <c r="AA624" t="s">
        <v>1229</v>
      </c>
      <c r="AB624">
        <v>50</v>
      </c>
      <c r="AC62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5" spans="1:29" x14ac:dyDescent="0.25">
      <c r="A625" t="s">
        <v>697</v>
      </c>
      <c r="B625" t="s">
        <v>696</v>
      </c>
      <c r="C625" t="s">
        <v>677</v>
      </c>
      <c r="D625" t="s">
        <v>522</v>
      </c>
      <c r="E625" t="s">
        <v>523</v>
      </c>
      <c r="F625" t="s">
        <v>569</v>
      </c>
      <c r="G625" t="s">
        <v>569</v>
      </c>
      <c r="H625" t="s">
        <v>569</v>
      </c>
      <c r="I625" t="s">
        <v>569</v>
      </c>
      <c r="J625" t="s">
        <v>569</v>
      </c>
      <c r="K625">
        <v>0</v>
      </c>
      <c r="L625" t="s">
        <v>569</v>
      </c>
      <c r="M625" t="s">
        <v>569</v>
      </c>
      <c r="N625" t="s">
        <v>569</v>
      </c>
      <c r="O625" t="s">
        <v>569</v>
      </c>
      <c r="P625" t="s">
        <v>569</v>
      </c>
      <c r="Q625" t="s">
        <v>569</v>
      </c>
      <c r="R625">
        <v>-33.93784144</v>
      </c>
      <c r="S625" t="s">
        <v>1111</v>
      </c>
      <c r="T625">
        <v>151.17505070000001</v>
      </c>
      <c r="U625" t="s">
        <v>1201</v>
      </c>
      <c r="V625" t="s">
        <v>569</v>
      </c>
      <c r="W625" t="s">
        <v>569</v>
      </c>
      <c r="X625" t="s">
        <v>569</v>
      </c>
      <c r="Y625" t="s">
        <v>569</v>
      </c>
      <c r="Z625" s="9">
        <v>0</v>
      </c>
      <c r="AA625" t="s">
        <v>1229</v>
      </c>
      <c r="AB625">
        <v>50</v>
      </c>
      <c r="AC62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6" spans="1:29" x14ac:dyDescent="0.25">
      <c r="A626" t="s">
        <v>773</v>
      </c>
      <c r="B626" t="s">
        <v>755</v>
      </c>
      <c r="C626" t="s">
        <v>755</v>
      </c>
      <c r="D626" t="s">
        <v>756</v>
      </c>
      <c r="E626" t="s">
        <v>757</v>
      </c>
      <c r="F626" t="s">
        <v>569</v>
      </c>
      <c r="G626" t="s">
        <v>569</v>
      </c>
      <c r="H626" t="s">
        <v>569</v>
      </c>
      <c r="I626" t="s">
        <v>569</v>
      </c>
      <c r="J626" t="s">
        <v>569</v>
      </c>
      <c r="K626" t="s">
        <v>569</v>
      </c>
      <c r="L626" t="s">
        <v>569</v>
      </c>
      <c r="M626" t="s">
        <v>569</v>
      </c>
      <c r="N626" t="s">
        <v>569</v>
      </c>
      <c r="O626" t="s">
        <v>569</v>
      </c>
      <c r="P626" t="s">
        <v>569</v>
      </c>
      <c r="Q626" t="s">
        <v>569</v>
      </c>
      <c r="R626">
        <v>13.43499722</v>
      </c>
      <c r="S626" t="s">
        <v>1213</v>
      </c>
      <c r="T626">
        <v>103.88925</v>
      </c>
      <c r="U626" t="s">
        <v>1201</v>
      </c>
      <c r="V626" t="s">
        <v>569</v>
      </c>
      <c r="W626" t="s">
        <v>569</v>
      </c>
      <c r="X626" t="s">
        <v>569</v>
      </c>
      <c r="Y626" t="s">
        <v>569</v>
      </c>
      <c r="Z626" t="s">
        <v>569</v>
      </c>
      <c r="AA626" t="s">
        <v>1230</v>
      </c>
      <c r="AB626">
        <v>50</v>
      </c>
      <c r="AC62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7" spans="1:29" x14ac:dyDescent="0.25">
      <c r="A627" t="s">
        <v>803</v>
      </c>
      <c r="B627" t="s">
        <v>794</v>
      </c>
      <c r="C627" t="s">
        <v>794</v>
      </c>
      <c r="D627" t="s">
        <v>795</v>
      </c>
      <c r="E627" t="s">
        <v>796</v>
      </c>
      <c r="F627" t="s">
        <v>569</v>
      </c>
      <c r="G627" t="s">
        <v>569</v>
      </c>
      <c r="H627" t="s">
        <v>569</v>
      </c>
      <c r="I627" t="s">
        <v>569</v>
      </c>
      <c r="J627" t="s">
        <v>569</v>
      </c>
      <c r="K627" t="s">
        <v>569</v>
      </c>
      <c r="L627" t="s">
        <v>569</v>
      </c>
      <c r="M627" t="s">
        <v>569</v>
      </c>
      <c r="N627" t="s">
        <v>569</v>
      </c>
      <c r="O627" t="s">
        <v>569</v>
      </c>
      <c r="P627" t="s">
        <v>569</v>
      </c>
      <c r="Q627" t="s">
        <v>569</v>
      </c>
      <c r="R627">
        <v>10.774269439999999</v>
      </c>
      <c r="S627" t="s">
        <v>1213</v>
      </c>
      <c r="T627">
        <v>106.6930806</v>
      </c>
      <c r="U627" t="s">
        <v>1201</v>
      </c>
      <c r="V627" t="s">
        <v>569</v>
      </c>
      <c r="W627" t="s">
        <v>569</v>
      </c>
      <c r="X627" t="s">
        <v>569</v>
      </c>
      <c r="Y627" t="s">
        <v>569</v>
      </c>
      <c r="Z627" t="s">
        <v>569</v>
      </c>
      <c r="AA627" t="s">
        <v>1230</v>
      </c>
      <c r="AB627">
        <v>50</v>
      </c>
      <c r="AC62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8" spans="1:29" x14ac:dyDescent="0.25">
      <c r="A628" t="s">
        <v>1239</v>
      </c>
      <c r="B628" t="s">
        <v>1005</v>
      </c>
      <c r="C628" t="s">
        <v>1235</v>
      </c>
      <c r="D628" t="s">
        <v>1006</v>
      </c>
      <c r="E628" t="s">
        <v>1236</v>
      </c>
      <c r="F628" t="s">
        <v>569</v>
      </c>
      <c r="G628" t="s">
        <v>569</v>
      </c>
      <c r="H628" t="s">
        <v>569</v>
      </c>
      <c r="I628" t="s">
        <v>569</v>
      </c>
      <c r="J628" t="s">
        <v>569</v>
      </c>
      <c r="K628" t="s">
        <v>569</v>
      </c>
      <c r="L628" t="s">
        <v>569</v>
      </c>
      <c r="M628" t="s">
        <v>569</v>
      </c>
      <c r="N628" t="s">
        <v>569</v>
      </c>
      <c r="O628" t="s">
        <v>569</v>
      </c>
      <c r="P628" t="s">
        <v>569</v>
      </c>
      <c r="Q628" t="s">
        <v>569</v>
      </c>
      <c r="R628">
        <v>51.430082409999997</v>
      </c>
      <c r="S628" t="s">
        <v>1213</v>
      </c>
      <c r="T628">
        <v>-0.32279978599999998</v>
      </c>
      <c r="U628" t="s">
        <v>1206</v>
      </c>
      <c r="V628" t="s">
        <v>569</v>
      </c>
      <c r="W628" t="s">
        <v>569</v>
      </c>
      <c r="X628" t="s">
        <v>569</v>
      </c>
      <c r="Y628" t="s">
        <v>569</v>
      </c>
      <c r="Z628" t="s">
        <v>569</v>
      </c>
      <c r="AA628" t="s">
        <v>1230</v>
      </c>
      <c r="AB628">
        <v>50</v>
      </c>
      <c r="AC62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29" spans="1:29" x14ac:dyDescent="0.25">
      <c r="A629" t="s">
        <v>551</v>
      </c>
      <c r="B629" t="s">
        <v>550</v>
      </c>
      <c r="C629" t="s">
        <v>504</v>
      </c>
      <c r="D629" t="s">
        <v>501</v>
      </c>
      <c r="E629" t="s">
        <v>502</v>
      </c>
      <c r="F629" t="s">
        <v>569</v>
      </c>
      <c r="G629" t="s">
        <v>569</v>
      </c>
      <c r="H629" t="s">
        <v>569</v>
      </c>
      <c r="I629" t="s">
        <v>569</v>
      </c>
      <c r="J629" t="s">
        <v>569</v>
      </c>
      <c r="K629">
        <v>0</v>
      </c>
      <c r="L629" t="s">
        <v>569</v>
      </c>
      <c r="M629" t="s">
        <v>569</v>
      </c>
      <c r="N629" t="s">
        <v>569</v>
      </c>
      <c r="O629" t="s">
        <v>569</v>
      </c>
      <c r="P629" t="s">
        <v>569</v>
      </c>
      <c r="Q629" t="s">
        <v>569</v>
      </c>
      <c r="R629">
        <v>49.721309419999997</v>
      </c>
      <c r="S629" t="s">
        <v>1213</v>
      </c>
      <c r="T629">
        <v>-124.8867953</v>
      </c>
      <c r="U629" t="s">
        <v>1206</v>
      </c>
      <c r="V629" t="s">
        <v>569</v>
      </c>
      <c r="W629" t="s">
        <v>569</v>
      </c>
      <c r="X629" t="s">
        <v>569</v>
      </c>
      <c r="Y629" t="s">
        <v>569</v>
      </c>
      <c r="Z629" t="s">
        <v>569</v>
      </c>
      <c r="AA629" t="s">
        <v>1229</v>
      </c>
      <c r="AB629">
        <v>50</v>
      </c>
      <c r="AC62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0" spans="1:29" x14ac:dyDescent="0.25">
      <c r="A630" t="s">
        <v>785</v>
      </c>
      <c r="B630" t="s">
        <v>784</v>
      </c>
      <c r="C630" t="s">
        <v>784</v>
      </c>
      <c r="D630" t="s">
        <v>777</v>
      </c>
      <c r="E630" t="s">
        <v>778</v>
      </c>
      <c r="F630" t="s">
        <v>569</v>
      </c>
      <c r="G630" t="s">
        <v>569</v>
      </c>
      <c r="H630" t="s">
        <v>569</v>
      </c>
      <c r="I630" t="s">
        <v>569</v>
      </c>
      <c r="J630" t="s">
        <v>569</v>
      </c>
      <c r="K630" t="s">
        <v>569</v>
      </c>
      <c r="L630" t="s">
        <v>569</v>
      </c>
      <c r="M630" t="s">
        <v>569</v>
      </c>
      <c r="N630" t="s">
        <v>569</v>
      </c>
      <c r="O630" t="s">
        <v>569</v>
      </c>
      <c r="P630" t="s">
        <v>569</v>
      </c>
      <c r="Q630" t="s">
        <v>569</v>
      </c>
      <c r="R630">
        <v>13.73795556</v>
      </c>
      <c r="S630" t="s">
        <v>1213</v>
      </c>
      <c r="T630">
        <v>100.5137</v>
      </c>
      <c r="U630" t="s">
        <v>1201</v>
      </c>
      <c r="V630" t="s">
        <v>569</v>
      </c>
      <c r="W630" t="s">
        <v>569</v>
      </c>
      <c r="X630" t="s">
        <v>569</v>
      </c>
      <c r="Y630" t="s">
        <v>569</v>
      </c>
      <c r="Z630" t="s">
        <v>569</v>
      </c>
      <c r="AA630" t="s">
        <v>1230</v>
      </c>
      <c r="AB630">
        <v>50</v>
      </c>
      <c r="AC63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1" spans="1:29" x14ac:dyDescent="0.25">
      <c r="A631" t="s">
        <v>1387</v>
      </c>
      <c r="B631" t="s">
        <v>1388</v>
      </c>
      <c r="C631" t="s">
        <v>504</v>
      </c>
      <c r="D631" t="s">
        <v>501</v>
      </c>
      <c r="E631" t="s">
        <v>502</v>
      </c>
      <c r="F631" t="s">
        <v>569</v>
      </c>
      <c r="G631" t="s">
        <v>569</v>
      </c>
      <c r="H631" t="s">
        <v>569</v>
      </c>
      <c r="I631" t="s">
        <v>569</v>
      </c>
      <c r="J631" t="s">
        <v>569</v>
      </c>
      <c r="K631" t="s">
        <v>569</v>
      </c>
      <c r="L631" t="s">
        <v>569</v>
      </c>
      <c r="M631" t="s">
        <v>569</v>
      </c>
      <c r="N631" t="s">
        <v>569</v>
      </c>
      <c r="O631" t="s">
        <v>569</v>
      </c>
      <c r="P631" t="s">
        <v>569</v>
      </c>
      <c r="Q631" t="s">
        <v>569</v>
      </c>
      <c r="R631" t="s">
        <v>569</v>
      </c>
      <c r="S631" t="s">
        <v>569</v>
      </c>
      <c r="T631" t="s">
        <v>569</v>
      </c>
      <c r="U631" t="s">
        <v>569</v>
      </c>
      <c r="V631" t="s">
        <v>569</v>
      </c>
      <c r="W631" t="s">
        <v>569</v>
      </c>
      <c r="X631" t="s">
        <v>569</v>
      </c>
      <c r="Y631" t="s">
        <v>569</v>
      </c>
      <c r="Z631" t="s">
        <v>569</v>
      </c>
      <c r="AA631" t="s">
        <v>569</v>
      </c>
      <c r="AB631">
        <v>50</v>
      </c>
      <c r="AC63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2" spans="1:29" x14ac:dyDescent="0.25">
      <c r="A632" t="s">
        <v>934</v>
      </c>
      <c r="B632" t="s">
        <v>505</v>
      </c>
      <c r="C632" t="s">
        <v>504</v>
      </c>
      <c r="D632" t="s">
        <v>501</v>
      </c>
      <c r="E632" t="s">
        <v>502</v>
      </c>
      <c r="F632" t="s">
        <v>569</v>
      </c>
      <c r="G632" t="s">
        <v>569</v>
      </c>
      <c r="H632" t="s">
        <v>569</v>
      </c>
      <c r="I632" t="s">
        <v>569</v>
      </c>
      <c r="J632" t="s">
        <v>569</v>
      </c>
      <c r="K632">
        <v>0</v>
      </c>
      <c r="L632" t="s">
        <v>569</v>
      </c>
      <c r="M632" t="s">
        <v>569</v>
      </c>
      <c r="N632" t="s">
        <v>569</v>
      </c>
      <c r="O632" t="s">
        <v>569</v>
      </c>
      <c r="P632" t="s">
        <v>569</v>
      </c>
      <c r="Q632" t="s">
        <v>569</v>
      </c>
      <c r="R632">
        <v>48.521749120000003</v>
      </c>
      <c r="S632" t="s">
        <v>1213</v>
      </c>
      <c r="T632">
        <v>-123.3669088</v>
      </c>
      <c r="U632" t="s">
        <v>1206</v>
      </c>
      <c r="V632" t="s">
        <v>569</v>
      </c>
      <c r="W632" t="s">
        <v>569</v>
      </c>
      <c r="X632" t="s">
        <v>569</v>
      </c>
      <c r="Y632" t="s">
        <v>569</v>
      </c>
      <c r="Z632" t="s">
        <v>569</v>
      </c>
      <c r="AA632" t="s">
        <v>1229</v>
      </c>
      <c r="AB632">
        <v>50</v>
      </c>
      <c r="AC63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3" spans="1:29" x14ac:dyDescent="0.25">
      <c r="A633" t="s">
        <v>1365</v>
      </c>
      <c r="B633" t="s">
        <v>557</v>
      </c>
      <c r="C633" t="s">
        <v>504</v>
      </c>
      <c r="D633" t="s">
        <v>501</v>
      </c>
      <c r="E633" t="s">
        <v>502</v>
      </c>
      <c r="F633" t="s">
        <v>569</v>
      </c>
      <c r="G633" t="s">
        <v>569</v>
      </c>
      <c r="H633" t="s">
        <v>569</v>
      </c>
      <c r="I633" t="s">
        <v>569</v>
      </c>
      <c r="J633" t="s">
        <v>569</v>
      </c>
      <c r="K633" t="s">
        <v>569</v>
      </c>
      <c r="L633" t="s">
        <v>569</v>
      </c>
      <c r="M633" t="s">
        <v>569</v>
      </c>
      <c r="N633" t="s">
        <v>569</v>
      </c>
      <c r="O633" t="s">
        <v>569</v>
      </c>
      <c r="P633" t="s">
        <v>569</v>
      </c>
      <c r="Q633" t="s">
        <v>569</v>
      </c>
      <c r="R633" t="s">
        <v>569</v>
      </c>
      <c r="S633" t="s">
        <v>569</v>
      </c>
      <c r="T633" t="s">
        <v>569</v>
      </c>
      <c r="U633" t="s">
        <v>569</v>
      </c>
      <c r="V633" t="s">
        <v>569</v>
      </c>
      <c r="W633" t="s">
        <v>569</v>
      </c>
      <c r="X633" t="s">
        <v>569</v>
      </c>
      <c r="Y633" t="s">
        <v>569</v>
      </c>
      <c r="Z633" t="s">
        <v>569</v>
      </c>
      <c r="AA633" t="s">
        <v>569</v>
      </c>
      <c r="AB633">
        <v>50</v>
      </c>
      <c r="AC633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4" spans="1:29" x14ac:dyDescent="0.25">
      <c r="A634" t="s">
        <v>885</v>
      </c>
      <c r="B634" t="s">
        <v>505</v>
      </c>
      <c r="C634" t="s">
        <v>504</v>
      </c>
      <c r="D634" t="s">
        <v>501</v>
      </c>
      <c r="E634" t="s">
        <v>502</v>
      </c>
      <c r="F634" t="s">
        <v>569</v>
      </c>
      <c r="G634" t="s">
        <v>569</v>
      </c>
      <c r="H634" t="s">
        <v>569</v>
      </c>
      <c r="I634" t="s">
        <v>569</v>
      </c>
      <c r="J634" t="s">
        <v>569</v>
      </c>
      <c r="K634">
        <v>0</v>
      </c>
      <c r="L634" t="s">
        <v>569</v>
      </c>
      <c r="M634" t="s">
        <v>569</v>
      </c>
      <c r="N634" t="s">
        <v>569</v>
      </c>
      <c r="O634" t="s">
        <v>569</v>
      </c>
      <c r="P634" t="s">
        <v>569</v>
      </c>
      <c r="Q634" t="s">
        <v>569</v>
      </c>
      <c r="R634">
        <v>48.429565410000002</v>
      </c>
      <c r="S634" t="s">
        <v>1213</v>
      </c>
      <c r="T634">
        <v>-123.3635098</v>
      </c>
      <c r="U634" t="s">
        <v>1206</v>
      </c>
      <c r="V634" t="s">
        <v>569</v>
      </c>
      <c r="W634" t="s">
        <v>569</v>
      </c>
      <c r="X634" t="s">
        <v>569</v>
      </c>
      <c r="Y634" t="s">
        <v>569</v>
      </c>
      <c r="Z634" t="s">
        <v>569</v>
      </c>
      <c r="AA634" t="s">
        <v>1229</v>
      </c>
      <c r="AB634">
        <v>50</v>
      </c>
      <c r="AC63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5" spans="1:29" x14ac:dyDescent="0.25">
      <c r="A635" t="s">
        <v>843</v>
      </c>
      <c r="B635" t="s">
        <v>557</v>
      </c>
      <c r="C635" t="s">
        <v>504</v>
      </c>
      <c r="D635" t="s">
        <v>501</v>
      </c>
      <c r="E635" t="s">
        <v>502</v>
      </c>
      <c r="F635" t="s">
        <v>569</v>
      </c>
      <c r="G635" t="s">
        <v>569</v>
      </c>
      <c r="H635" t="s">
        <v>569</v>
      </c>
      <c r="I635" t="s">
        <v>569</v>
      </c>
      <c r="J635" t="s">
        <v>569</v>
      </c>
      <c r="K635">
        <v>0</v>
      </c>
      <c r="L635" t="s">
        <v>569</v>
      </c>
      <c r="M635" t="s">
        <v>569</v>
      </c>
      <c r="N635" t="s">
        <v>569</v>
      </c>
      <c r="O635" t="s">
        <v>569</v>
      </c>
      <c r="P635" t="s">
        <v>569</v>
      </c>
      <c r="Q635" t="s">
        <v>569</v>
      </c>
      <c r="R635">
        <v>49.87388172</v>
      </c>
      <c r="S635" t="s">
        <v>1213</v>
      </c>
      <c r="T635">
        <v>-124.5519376</v>
      </c>
      <c r="U635" t="s">
        <v>1206</v>
      </c>
      <c r="V635" t="s">
        <v>569</v>
      </c>
      <c r="W635" t="s">
        <v>569</v>
      </c>
      <c r="X635" t="s">
        <v>569</v>
      </c>
      <c r="Y635" t="s">
        <v>569</v>
      </c>
      <c r="Z635" t="s">
        <v>569</v>
      </c>
      <c r="AA635" t="s">
        <v>1229</v>
      </c>
      <c r="AB635">
        <v>50</v>
      </c>
      <c r="AC63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6" spans="1:29" x14ac:dyDescent="0.25">
      <c r="A636" t="s">
        <v>917</v>
      </c>
      <c r="B636" t="s">
        <v>916</v>
      </c>
      <c r="C636" t="s">
        <v>504</v>
      </c>
      <c r="D636" t="s">
        <v>501</v>
      </c>
      <c r="E636" t="s">
        <v>502</v>
      </c>
      <c r="F636" t="s">
        <v>569</v>
      </c>
      <c r="G636" t="s">
        <v>569</v>
      </c>
      <c r="H636" t="s">
        <v>569</v>
      </c>
      <c r="I636" t="s">
        <v>569</v>
      </c>
      <c r="J636" t="s">
        <v>569</v>
      </c>
      <c r="K636">
        <v>0</v>
      </c>
      <c r="L636" t="s">
        <v>569</v>
      </c>
      <c r="M636" t="s">
        <v>569</v>
      </c>
      <c r="N636" t="s">
        <v>569</v>
      </c>
      <c r="O636" t="s">
        <v>569</v>
      </c>
      <c r="P636" t="s">
        <v>569</v>
      </c>
      <c r="Q636" t="s">
        <v>569</v>
      </c>
      <c r="R636">
        <v>49.082239420000001</v>
      </c>
      <c r="S636" t="s">
        <v>1213</v>
      </c>
      <c r="T636">
        <v>-122.0554286</v>
      </c>
      <c r="U636" t="s">
        <v>1206</v>
      </c>
      <c r="V636" t="s">
        <v>569</v>
      </c>
      <c r="W636" t="s">
        <v>569</v>
      </c>
      <c r="X636" t="s">
        <v>569</v>
      </c>
      <c r="Y636" t="s">
        <v>569</v>
      </c>
      <c r="Z636" t="s">
        <v>569</v>
      </c>
      <c r="AA636" t="s">
        <v>1229</v>
      </c>
      <c r="AB636">
        <v>50</v>
      </c>
      <c r="AC63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7" spans="1:29" x14ac:dyDescent="0.25">
      <c r="A637" t="s">
        <v>702</v>
      </c>
      <c r="B637" t="s">
        <v>696</v>
      </c>
      <c r="C637" t="s">
        <v>677</v>
      </c>
      <c r="D637" t="s">
        <v>522</v>
      </c>
      <c r="E637" t="s">
        <v>523</v>
      </c>
      <c r="F637" t="s">
        <v>569</v>
      </c>
      <c r="G637" t="s">
        <v>569</v>
      </c>
      <c r="H637" t="s">
        <v>569</v>
      </c>
      <c r="I637" t="s">
        <v>569</v>
      </c>
      <c r="J637" t="s">
        <v>569</v>
      </c>
      <c r="K637">
        <v>0</v>
      </c>
      <c r="L637" t="s">
        <v>569</v>
      </c>
      <c r="M637" t="s">
        <v>569</v>
      </c>
      <c r="N637" t="s">
        <v>569</v>
      </c>
      <c r="O637" t="s">
        <v>569</v>
      </c>
      <c r="P637" t="s">
        <v>569</v>
      </c>
      <c r="Q637" t="s">
        <v>569</v>
      </c>
      <c r="R637">
        <v>-33.858878709999999</v>
      </c>
      <c r="S637" t="s">
        <v>1111</v>
      </c>
      <c r="T637">
        <v>151.20814920000001</v>
      </c>
      <c r="U637" t="s">
        <v>1201</v>
      </c>
      <c r="V637" t="s">
        <v>569</v>
      </c>
      <c r="W637" t="s">
        <v>569</v>
      </c>
      <c r="X637" t="s">
        <v>569</v>
      </c>
      <c r="Y637" t="s">
        <v>569</v>
      </c>
      <c r="Z637" s="9">
        <v>0</v>
      </c>
      <c r="AA637" t="s">
        <v>1229</v>
      </c>
      <c r="AB637">
        <v>50</v>
      </c>
      <c r="AC63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8" spans="1:29" x14ac:dyDescent="0.25">
      <c r="A638" t="s">
        <v>719</v>
      </c>
      <c r="B638" t="s">
        <v>712</v>
      </c>
      <c r="C638" t="s">
        <v>525</v>
      </c>
      <c r="D638" t="s">
        <v>522</v>
      </c>
      <c r="E638" t="s">
        <v>523</v>
      </c>
      <c r="F638" t="s">
        <v>569</v>
      </c>
      <c r="G638" t="s">
        <v>569</v>
      </c>
      <c r="H638" t="s">
        <v>569</v>
      </c>
      <c r="I638" t="s">
        <v>569</v>
      </c>
      <c r="J638" t="s">
        <v>569</v>
      </c>
      <c r="K638">
        <v>0</v>
      </c>
      <c r="L638" t="s">
        <v>569</v>
      </c>
      <c r="M638" t="s">
        <v>569</v>
      </c>
      <c r="N638" t="s">
        <v>569</v>
      </c>
      <c r="O638" t="s">
        <v>569</v>
      </c>
      <c r="P638" t="s">
        <v>569</v>
      </c>
      <c r="Q638" t="s">
        <v>569</v>
      </c>
      <c r="R638">
        <v>-32.056129130000002</v>
      </c>
      <c r="S638" t="s">
        <v>1111</v>
      </c>
      <c r="T638">
        <v>115.7412887</v>
      </c>
      <c r="U638" t="s">
        <v>1201</v>
      </c>
      <c r="V638" t="s">
        <v>569</v>
      </c>
      <c r="W638" t="s">
        <v>569</v>
      </c>
      <c r="X638" t="s">
        <v>569</v>
      </c>
      <c r="Y638" t="s">
        <v>569</v>
      </c>
      <c r="Z638" s="9">
        <v>0</v>
      </c>
      <c r="AA638" t="s">
        <v>1229</v>
      </c>
      <c r="AB638">
        <v>50</v>
      </c>
      <c r="AC63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39" spans="1:29" x14ac:dyDescent="0.25">
      <c r="A639" t="s">
        <v>665</v>
      </c>
      <c r="B639" t="s">
        <v>505</v>
      </c>
      <c r="C639" t="s">
        <v>504</v>
      </c>
      <c r="D639" t="s">
        <v>501</v>
      </c>
      <c r="E639" t="s">
        <v>502</v>
      </c>
      <c r="F639" t="s">
        <v>569</v>
      </c>
      <c r="G639" t="s">
        <v>569</v>
      </c>
      <c r="H639" t="s">
        <v>569</v>
      </c>
      <c r="I639" t="s">
        <v>569</v>
      </c>
      <c r="J639" t="s">
        <v>569</v>
      </c>
      <c r="K639">
        <v>0</v>
      </c>
      <c r="L639" t="s">
        <v>569</v>
      </c>
      <c r="M639" t="s">
        <v>569</v>
      </c>
      <c r="N639" t="s">
        <v>569</v>
      </c>
      <c r="O639" t="s">
        <v>569</v>
      </c>
      <c r="P639" t="s">
        <v>569</v>
      </c>
      <c r="Q639" t="s">
        <v>569</v>
      </c>
      <c r="R639">
        <v>48.478497509999997</v>
      </c>
      <c r="S639" t="s">
        <v>1213</v>
      </c>
      <c r="T639">
        <v>-123.4659004</v>
      </c>
      <c r="U639" t="s">
        <v>1206</v>
      </c>
      <c r="V639" t="s">
        <v>569</v>
      </c>
      <c r="W639" t="s">
        <v>569</v>
      </c>
      <c r="X639" t="s">
        <v>569</v>
      </c>
      <c r="Y639" t="s">
        <v>569</v>
      </c>
      <c r="Z639" t="s">
        <v>569</v>
      </c>
      <c r="AA639" t="s">
        <v>1229</v>
      </c>
      <c r="AB639">
        <v>50</v>
      </c>
      <c r="AC63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0" spans="1:29" x14ac:dyDescent="0.25">
      <c r="A640" t="s">
        <v>688</v>
      </c>
      <c r="B640" t="s">
        <v>686</v>
      </c>
      <c r="C640" t="s">
        <v>677</v>
      </c>
      <c r="D640" t="s">
        <v>522</v>
      </c>
      <c r="E640" t="s">
        <v>523</v>
      </c>
      <c r="F640" t="s">
        <v>569</v>
      </c>
      <c r="G640" t="s">
        <v>569</v>
      </c>
      <c r="H640" t="s">
        <v>569</v>
      </c>
      <c r="I640" t="s">
        <v>569</v>
      </c>
      <c r="J640" t="s">
        <v>569</v>
      </c>
      <c r="K640">
        <v>0</v>
      </c>
      <c r="L640" t="s">
        <v>569</v>
      </c>
      <c r="M640" t="s">
        <v>569</v>
      </c>
      <c r="N640" t="s">
        <v>569</v>
      </c>
      <c r="O640" t="s">
        <v>569</v>
      </c>
      <c r="P640" t="s">
        <v>569</v>
      </c>
      <c r="Q640" t="s">
        <v>569</v>
      </c>
      <c r="R640">
        <v>-33.731763579999999</v>
      </c>
      <c r="S640" t="s">
        <v>1111</v>
      </c>
      <c r="T640">
        <v>150.3128815</v>
      </c>
      <c r="U640" t="s">
        <v>1201</v>
      </c>
      <c r="V640" t="s">
        <v>569</v>
      </c>
      <c r="W640" t="s">
        <v>569</v>
      </c>
      <c r="X640" t="s">
        <v>569</v>
      </c>
      <c r="Y640" t="s">
        <v>569</v>
      </c>
      <c r="Z640" s="9">
        <v>0</v>
      </c>
      <c r="AA640" t="s">
        <v>1229</v>
      </c>
      <c r="AB640">
        <v>50</v>
      </c>
      <c r="AC64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1" spans="1:29" x14ac:dyDescent="0.25">
      <c r="A641" t="s">
        <v>549</v>
      </c>
      <c r="B641" t="s">
        <v>505</v>
      </c>
      <c r="C641" t="s">
        <v>504</v>
      </c>
      <c r="D641" t="s">
        <v>501</v>
      </c>
      <c r="E641" t="s">
        <v>502</v>
      </c>
      <c r="F641" t="s">
        <v>569</v>
      </c>
      <c r="G641" t="s">
        <v>569</v>
      </c>
      <c r="H641" t="s">
        <v>569</v>
      </c>
      <c r="I641" t="s">
        <v>569</v>
      </c>
      <c r="J641" t="s">
        <v>569</v>
      </c>
      <c r="K641">
        <v>0</v>
      </c>
      <c r="L641" t="s">
        <v>569</v>
      </c>
      <c r="M641" t="s">
        <v>569</v>
      </c>
      <c r="N641" t="s">
        <v>569</v>
      </c>
      <c r="O641" t="s">
        <v>569</v>
      </c>
      <c r="P641" t="s">
        <v>569</v>
      </c>
      <c r="Q641" t="s">
        <v>569</v>
      </c>
      <c r="R641">
        <v>48.419702229999999</v>
      </c>
      <c r="S641" t="s">
        <v>1213</v>
      </c>
      <c r="T641">
        <v>-123.3665566</v>
      </c>
      <c r="U641" t="s">
        <v>1206</v>
      </c>
      <c r="V641" t="s">
        <v>569</v>
      </c>
      <c r="W641" t="s">
        <v>569</v>
      </c>
      <c r="X641" t="s">
        <v>569</v>
      </c>
      <c r="Y641" t="s">
        <v>569</v>
      </c>
      <c r="Z641" t="s">
        <v>569</v>
      </c>
      <c r="AA641" t="s">
        <v>1229</v>
      </c>
      <c r="AB641">
        <v>50</v>
      </c>
      <c r="AC64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2" spans="1:29" x14ac:dyDescent="0.25">
      <c r="A642" t="s">
        <v>1391</v>
      </c>
      <c r="B642" t="s">
        <v>1260</v>
      </c>
      <c r="C642" t="s">
        <v>504</v>
      </c>
      <c r="D642" t="s">
        <v>501</v>
      </c>
      <c r="E642" t="s">
        <v>502</v>
      </c>
      <c r="F642" t="s">
        <v>569</v>
      </c>
      <c r="G642" t="s">
        <v>569</v>
      </c>
      <c r="H642" t="s">
        <v>569</v>
      </c>
      <c r="I642" t="s">
        <v>569</v>
      </c>
      <c r="J642" t="s">
        <v>569</v>
      </c>
      <c r="K642" t="s">
        <v>569</v>
      </c>
      <c r="L642" t="s">
        <v>569</v>
      </c>
      <c r="M642" t="s">
        <v>569</v>
      </c>
      <c r="N642" t="s">
        <v>569</v>
      </c>
      <c r="O642" t="s">
        <v>569</v>
      </c>
      <c r="P642" t="s">
        <v>569</v>
      </c>
      <c r="Q642" t="s">
        <v>569</v>
      </c>
      <c r="R642" t="s">
        <v>569</v>
      </c>
      <c r="S642" t="s">
        <v>569</v>
      </c>
      <c r="T642" t="s">
        <v>569</v>
      </c>
      <c r="U642" t="s">
        <v>569</v>
      </c>
      <c r="V642" t="s">
        <v>569</v>
      </c>
      <c r="W642" t="s">
        <v>569</v>
      </c>
      <c r="X642" t="s">
        <v>569</v>
      </c>
      <c r="Y642" t="s">
        <v>569</v>
      </c>
      <c r="Z642" t="s">
        <v>569</v>
      </c>
      <c r="AA642" t="s">
        <v>569</v>
      </c>
      <c r="AB642">
        <v>50</v>
      </c>
      <c r="AC642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3" spans="1:29" x14ac:dyDescent="0.25">
      <c r="A643" t="s">
        <v>646</v>
      </c>
      <c r="B643" t="s">
        <v>640</v>
      </c>
      <c r="C643" t="s">
        <v>504</v>
      </c>
      <c r="D643" t="s">
        <v>501</v>
      </c>
      <c r="E643" t="s">
        <v>502</v>
      </c>
      <c r="F643" t="s">
        <v>569</v>
      </c>
      <c r="G643" t="s">
        <v>569</v>
      </c>
      <c r="H643" t="s">
        <v>569</v>
      </c>
      <c r="I643" t="s">
        <v>569</v>
      </c>
      <c r="J643" t="s">
        <v>569</v>
      </c>
      <c r="K643">
        <v>0</v>
      </c>
      <c r="L643" t="s">
        <v>569</v>
      </c>
      <c r="M643" t="s">
        <v>569</v>
      </c>
      <c r="N643" t="s">
        <v>569</v>
      </c>
      <c r="O643" t="s">
        <v>569</v>
      </c>
      <c r="P643" t="s">
        <v>569</v>
      </c>
      <c r="Q643" t="s">
        <v>569</v>
      </c>
      <c r="R643">
        <v>49.26941471</v>
      </c>
      <c r="S643" t="s">
        <v>1213</v>
      </c>
      <c r="T643">
        <v>-124.361093</v>
      </c>
      <c r="U643" t="s">
        <v>1206</v>
      </c>
      <c r="V643" t="s">
        <v>569</v>
      </c>
      <c r="W643" t="s">
        <v>569</v>
      </c>
      <c r="X643" t="s">
        <v>569</v>
      </c>
      <c r="Y643" t="s">
        <v>569</v>
      </c>
      <c r="Z643" t="s">
        <v>569</v>
      </c>
      <c r="AA643" t="s">
        <v>1229</v>
      </c>
      <c r="AB643">
        <v>50</v>
      </c>
      <c r="AC64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4" spans="1:29" x14ac:dyDescent="0.25">
      <c r="A644" t="s">
        <v>791</v>
      </c>
      <c r="B644" t="s">
        <v>790</v>
      </c>
      <c r="C644" t="s">
        <v>780</v>
      </c>
      <c r="D644" t="s">
        <v>777</v>
      </c>
      <c r="E644" t="s">
        <v>778</v>
      </c>
      <c r="F644" t="s">
        <v>569</v>
      </c>
      <c r="G644" t="s">
        <v>569</v>
      </c>
      <c r="H644" t="s">
        <v>569</v>
      </c>
      <c r="I644" t="s">
        <v>569</v>
      </c>
      <c r="J644" t="s">
        <v>569</v>
      </c>
      <c r="K644">
        <v>0</v>
      </c>
      <c r="L644" t="s">
        <v>569</v>
      </c>
      <c r="M644" t="s">
        <v>569</v>
      </c>
      <c r="N644" t="s">
        <v>569</v>
      </c>
      <c r="O644" t="s">
        <v>569</v>
      </c>
      <c r="P644" t="s">
        <v>569</v>
      </c>
      <c r="Q644" t="s">
        <v>569</v>
      </c>
      <c r="R644">
        <v>14.11777498</v>
      </c>
      <c r="S644" t="s">
        <v>1213</v>
      </c>
      <c r="T644">
        <v>99.232013230000007</v>
      </c>
      <c r="U644" t="s">
        <v>1201</v>
      </c>
      <c r="V644" t="s">
        <v>569</v>
      </c>
      <c r="W644" t="s">
        <v>569</v>
      </c>
      <c r="X644" t="s">
        <v>569</v>
      </c>
      <c r="Y644" t="s">
        <v>569</v>
      </c>
      <c r="Z644" t="s">
        <v>569</v>
      </c>
      <c r="AA644" t="s">
        <v>1229</v>
      </c>
      <c r="AB644">
        <v>50</v>
      </c>
      <c r="AC64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5" spans="1:29" x14ac:dyDescent="0.25">
      <c r="A645" t="s">
        <v>546</v>
      </c>
      <c r="B645" t="s">
        <v>545</v>
      </c>
      <c r="C645" t="s">
        <v>504</v>
      </c>
      <c r="D645" t="s">
        <v>501</v>
      </c>
      <c r="E645" t="s">
        <v>502</v>
      </c>
      <c r="F645" t="s">
        <v>569</v>
      </c>
      <c r="G645" t="s">
        <v>569</v>
      </c>
      <c r="H645" t="s">
        <v>569</v>
      </c>
      <c r="I645" t="s">
        <v>569</v>
      </c>
      <c r="J645" t="s">
        <v>569</v>
      </c>
      <c r="K645">
        <v>0</v>
      </c>
      <c r="L645" t="s">
        <v>569</v>
      </c>
      <c r="M645" t="s">
        <v>569</v>
      </c>
      <c r="N645" t="s">
        <v>569</v>
      </c>
      <c r="O645" t="s">
        <v>569</v>
      </c>
      <c r="P645" t="s">
        <v>569</v>
      </c>
      <c r="Q645" t="s">
        <v>569</v>
      </c>
      <c r="R645">
        <v>49.310840849999998</v>
      </c>
      <c r="S645" t="s">
        <v>1213</v>
      </c>
      <c r="T645">
        <v>-124.2614597</v>
      </c>
      <c r="U645" t="s">
        <v>1206</v>
      </c>
      <c r="V645" t="s">
        <v>569</v>
      </c>
      <c r="W645" t="s">
        <v>569</v>
      </c>
      <c r="X645" t="s">
        <v>569</v>
      </c>
      <c r="Y645" t="s">
        <v>569</v>
      </c>
      <c r="Z645" t="s">
        <v>569</v>
      </c>
      <c r="AA645" t="s">
        <v>1229</v>
      </c>
      <c r="AB645">
        <v>50</v>
      </c>
      <c r="AC64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6" spans="1:29" x14ac:dyDescent="0.25">
      <c r="A646" t="s">
        <v>822</v>
      </c>
      <c r="B646" t="s">
        <v>505</v>
      </c>
      <c r="C646" t="s">
        <v>504</v>
      </c>
      <c r="D646" t="s">
        <v>501</v>
      </c>
      <c r="E646" t="s">
        <v>502</v>
      </c>
      <c r="F646" t="s">
        <v>569</v>
      </c>
      <c r="G646" t="s">
        <v>569</v>
      </c>
      <c r="H646" t="s">
        <v>569</v>
      </c>
      <c r="I646" t="s">
        <v>569</v>
      </c>
      <c r="J646" t="s">
        <v>569</v>
      </c>
      <c r="K646">
        <v>0</v>
      </c>
      <c r="L646" t="s">
        <v>569</v>
      </c>
      <c r="M646" t="s">
        <v>569</v>
      </c>
      <c r="N646" t="s">
        <v>569</v>
      </c>
      <c r="O646" t="s">
        <v>569</v>
      </c>
      <c r="P646" t="s">
        <v>569</v>
      </c>
      <c r="Q646" t="s">
        <v>569</v>
      </c>
      <c r="R646">
        <v>48.454723110000003</v>
      </c>
      <c r="S646" t="s">
        <v>1213</v>
      </c>
      <c r="T646">
        <v>-123.3951491</v>
      </c>
      <c r="U646" t="s">
        <v>1206</v>
      </c>
      <c r="V646" t="s">
        <v>569</v>
      </c>
      <c r="W646" t="s">
        <v>569</v>
      </c>
      <c r="X646" t="s">
        <v>569</v>
      </c>
      <c r="Y646" t="s">
        <v>569</v>
      </c>
      <c r="Z646" t="s">
        <v>569</v>
      </c>
      <c r="AA646" t="s">
        <v>1229</v>
      </c>
      <c r="AB646">
        <v>50</v>
      </c>
      <c r="AC64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7" spans="1:29" x14ac:dyDescent="0.25">
      <c r="A647" t="s">
        <v>576</v>
      </c>
      <c r="B647" t="s">
        <v>505</v>
      </c>
      <c r="C647" t="s">
        <v>504</v>
      </c>
      <c r="D647" t="s">
        <v>501</v>
      </c>
      <c r="E647" t="s">
        <v>502</v>
      </c>
      <c r="F647" t="s">
        <v>569</v>
      </c>
      <c r="G647" t="s">
        <v>569</v>
      </c>
      <c r="H647" t="s">
        <v>569</v>
      </c>
      <c r="I647" t="s">
        <v>569</v>
      </c>
      <c r="J647" t="s">
        <v>569</v>
      </c>
      <c r="K647">
        <v>0</v>
      </c>
      <c r="L647" t="s">
        <v>569</v>
      </c>
      <c r="M647" t="s">
        <v>569</v>
      </c>
      <c r="N647" t="s">
        <v>569</v>
      </c>
      <c r="O647" t="s">
        <v>569</v>
      </c>
      <c r="P647" t="s">
        <v>569</v>
      </c>
      <c r="Q647" t="s">
        <v>569</v>
      </c>
      <c r="R647">
        <v>48.56132908</v>
      </c>
      <c r="S647" t="s">
        <v>1213</v>
      </c>
      <c r="T647">
        <v>-123.4657931</v>
      </c>
      <c r="U647" t="s">
        <v>1206</v>
      </c>
      <c r="V647" t="s">
        <v>569</v>
      </c>
      <c r="W647" t="s">
        <v>569</v>
      </c>
      <c r="X647" t="s">
        <v>569</v>
      </c>
      <c r="Y647" t="s">
        <v>569</v>
      </c>
      <c r="Z647" t="s">
        <v>569</v>
      </c>
      <c r="AA647" t="s">
        <v>1229</v>
      </c>
      <c r="AB647">
        <v>50</v>
      </c>
      <c r="AC64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8" spans="1:29" x14ac:dyDescent="0.25">
      <c r="A648" t="s">
        <v>852</v>
      </c>
      <c r="B648" t="s">
        <v>505</v>
      </c>
      <c r="C648" t="s">
        <v>504</v>
      </c>
      <c r="D648" t="s">
        <v>501</v>
      </c>
      <c r="E648" t="s">
        <v>502</v>
      </c>
      <c r="F648" t="s">
        <v>569</v>
      </c>
      <c r="G648" t="s">
        <v>569</v>
      </c>
      <c r="H648" t="s">
        <v>569</v>
      </c>
      <c r="I648" t="s">
        <v>569</v>
      </c>
      <c r="J648">
        <v>18</v>
      </c>
      <c r="K648">
        <v>0</v>
      </c>
      <c r="L648" t="s">
        <v>569</v>
      </c>
      <c r="M648" t="s">
        <v>569</v>
      </c>
      <c r="N648" t="s">
        <v>569</v>
      </c>
      <c r="O648" t="s">
        <v>569</v>
      </c>
      <c r="P648" t="s">
        <v>569</v>
      </c>
      <c r="Q648" t="s">
        <v>569</v>
      </c>
      <c r="R648">
        <v>48.445833329999999</v>
      </c>
      <c r="S648" t="s">
        <v>1213</v>
      </c>
      <c r="T648">
        <v>-123.36316669999999</v>
      </c>
      <c r="U648" t="s">
        <v>1206</v>
      </c>
      <c r="V648" t="s">
        <v>569</v>
      </c>
      <c r="W648" t="s">
        <v>569</v>
      </c>
      <c r="X648" t="s">
        <v>569</v>
      </c>
      <c r="Y648" t="s">
        <v>569</v>
      </c>
      <c r="Z648" s="9">
        <v>5.451388888888889E-2</v>
      </c>
      <c r="AA648" t="s">
        <v>1229</v>
      </c>
      <c r="AB648">
        <v>50</v>
      </c>
      <c r="AC64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49" spans="1:29" x14ac:dyDescent="0.25">
      <c r="A649" t="s">
        <v>693</v>
      </c>
      <c r="B649" t="s">
        <v>675</v>
      </c>
      <c r="C649" t="s">
        <v>677</v>
      </c>
      <c r="D649" t="s">
        <v>522</v>
      </c>
      <c r="E649" t="s">
        <v>523</v>
      </c>
      <c r="F649" t="s">
        <v>569</v>
      </c>
      <c r="G649" t="s">
        <v>569</v>
      </c>
      <c r="H649" t="s">
        <v>569</v>
      </c>
      <c r="I649" t="s">
        <v>569</v>
      </c>
      <c r="J649" t="s">
        <v>569</v>
      </c>
      <c r="K649">
        <v>0</v>
      </c>
      <c r="L649" t="s">
        <v>569</v>
      </c>
      <c r="M649" t="s">
        <v>569</v>
      </c>
      <c r="N649" t="s">
        <v>569</v>
      </c>
      <c r="O649" t="s">
        <v>569</v>
      </c>
      <c r="P649" t="s">
        <v>569</v>
      </c>
      <c r="Q649" t="s">
        <v>569</v>
      </c>
      <c r="R649">
        <v>-31.429358879999999</v>
      </c>
      <c r="S649" t="s">
        <v>1111</v>
      </c>
      <c r="T649">
        <v>152.91878700000001</v>
      </c>
      <c r="U649" t="s">
        <v>1201</v>
      </c>
      <c r="V649" t="s">
        <v>569</v>
      </c>
      <c r="W649" t="s">
        <v>569</v>
      </c>
      <c r="X649" t="s">
        <v>569</v>
      </c>
      <c r="Y649" t="s">
        <v>569</v>
      </c>
      <c r="Z649" t="s">
        <v>569</v>
      </c>
      <c r="AA649" t="s">
        <v>1229</v>
      </c>
      <c r="AB649">
        <v>50</v>
      </c>
      <c r="AC64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0" spans="1:29" x14ac:dyDescent="0.25">
      <c r="A650" t="s">
        <v>974</v>
      </c>
      <c r="B650" t="s">
        <v>973</v>
      </c>
      <c r="C650" t="s">
        <v>707</v>
      </c>
      <c r="D650" t="s">
        <v>522</v>
      </c>
      <c r="E650" t="s">
        <v>523</v>
      </c>
      <c r="F650" t="s">
        <v>569</v>
      </c>
      <c r="G650" t="s">
        <v>569</v>
      </c>
      <c r="H650" t="s">
        <v>569</v>
      </c>
      <c r="I650" t="s">
        <v>569</v>
      </c>
      <c r="J650" t="s">
        <v>569</v>
      </c>
      <c r="K650">
        <v>0</v>
      </c>
      <c r="L650" t="s">
        <v>569</v>
      </c>
      <c r="M650" t="s">
        <v>569</v>
      </c>
      <c r="N650" t="s">
        <v>569</v>
      </c>
      <c r="O650" t="s">
        <v>569</v>
      </c>
      <c r="P650" t="s">
        <v>569</v>
      </c>
      <c r="Q650" t="s">
        <v>569</v>
      </c>
      <c r="R650">
        <v>-16.69407322</v>
      </c>
      <c r="S650" t="s">
        <v>1111</v>
      </c>
      <c r="T650">
        <v>145.5977465</v>
      </c>
      <c r="U650" t="s">
        <v>1201</v>
      </c>
      <c r="V650" t="s">
        <v>569</v>
      </c>
      <c r="W650" t="s">
        <v>569</v>
      </c>
      <c r="X650" t="s">
        <v>569</v>
      </c>
      <c r="Y650" t="s">
        <v>569</v>
      </c>
      <c r="Z650" t="s">
        <v>569</v>
      </c>
      <c r="AA650" t="s">
        <v>1229</v>
      </c>
      <c r="AB650">
        <v>50</v>
      </c>
      <c r="AC65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1" spans="1:29" x14ac:dyDescent="0.25">
      <c r="A651" t="s">
        <v>837</v>
      </c>
      <c r="B651" t="s">
        <v>572</v>
      </c>
      <c r="C651" t="s">
        <v>504</v>
      </c>
      <c r="D651" t="s">
        <v>501</v>
      </c>
      <c r="E651" t="s">
        <v>502</v>
      </c>
      <c r="F651" t="s">
        <v>569</v>
      </c>
      <c r="G651" t="s">
        <v>569</v>
      </c>
      <c r="H651" t="s">
        <v>569</v>
      </c>
      <c r="I651" t="s">
        <v>569</v>
      </c>
      <c r="J651" t="s">
        <v>569</v>
      </c>
      <c r="K651">
        <v>0</v>
      </c>
      <c r="L651" t="s">
        <v>569</v>
      </c>
      <c r="M651" t="s">
        <v>569</v>
      </c>
      <c r="N651" t="s">
        <v>569</v>
      </c>
      <c r="O651" t="s">
        <v>569</v>
      </c>
      <c r="P651" t="s">
        <v>569</v>
      </c>
      <c r="Q651" t="s">
        <v>569</v>
      </c>
      <c r="R651">
        <v>48.853740369999997</v>
      </c>
      <c r="S651" t="s">
        <v>1213</v>
      </c>
      <c r="T651">
        <v>-123.49851339999999</v>
      </c>
      <c r="U651" t="s">
        <v>1206</v>
      </c>
      <c r="V651" t="s">
        <v>569</v>
      </c>
      <c r="W651" t="s">
        <v>569</v>
      </c>
      <c r="X651" t="s">
        <v>569</v>
      </c>
      <c r="Y651" t="s">
        <v>569</v>
      </c>
      <c r="Z651" t="s">
        <v>569</v>
      </c>
      <c r="AA651" t="s">
        <v>1229</v>
      </c>
      <c r="AB651">
        <v>50</v>
      </c>
      <c r="AC65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2" spans="1:29" x14ac:dyDescent="0.25">
      <c r="A652" t="s">
        <v>894</v>
      </c>
      <c r="B652" t="s">
        <v>8</v>
      </c>
      <c r="C652" t="s">
        <v>504</v>
      </c>
      <c r="D652" t="s">
        <v>501</v>
      </c>
      <c r="E652" t="s">
        <v>502</v>
      </c>
      <c r="F652" t="s">
        <v>569</v>
      </c>
      <c r="G652" t="s">
        <v>569</v>
      </c>
      <c r="H652" t="s">
        <v>569</v>
      </c>
      <c r="I652" t="s">
        <v>569</v>
      </c>
      <c r="J652" t="s">
        <v>569</v>
      </c>
      <c r="K652">
        <v>0</v>
      </c>
      <c r="L652" t="s">
        <v>569</v>
      </c>
      <c r="M652" t="s">
        <v>569</v>
      </c>
      <c r="N652" t="s">
        <v>569</v>
      </c>
      <c r="O652" t="s">
        <v>569</v>
      </c>
      <c r="P652" t="s">
        <v>569</v>
      </c>
      <c r="Q652" t="s">
        <v>569</v>
      </c>
      <c r="R652">
        <v>48.642549840000001</v>
      </c>
      <c r="S652" t="s">
        <v>1213</v>
      </c>
      <c r="T652">
        <v>-123.39988990000001</v>
      </c>
      <c r="U652" t="s">
        <v>1206</v>
      </c>
      <c r="V652" t="s">
        <v>569</v>
      </c>
      <c r="W652" t="s">
        <v>569</v>
      </c>
      <c r="X652" t="s">
        <v>569</v>
      </c>
      <c r="Y652" t="s">
        <v>569</v>
      </c>
      <c r="Z652" t="s">
        <v>569</v>
      </c>
      <c r="AA652" t="s">
        <v>1229</v>
      </c>
      <c r="AB652">
        <v>50</v>
      </c>
      <c r="AC65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3" spans="1:29" x14ac:dyDescent="0.25">
      <c r="A653" t="s">
        <v>964</v>
      </c>
      <c r="B653" t="s">
        <v>696</v>
      </c>
      <c r="C653" t="s">
        <v>677</v>
      </c>
      <c r="D653" t="s">
        <v>522</v>
      </c>
      <c r="E653" t="s">
        <v>523</v>
      </c>
      <c r="F653" t="s">
        <v>569</v>
      </c>
      <c r="G653" t="s">
        <v>569</v>
      </c>
      <c r="H653" t="s">
        <v>569</v>
      </c>
      <c r="I653" t="s">
        <v>569</v>
      </c>
      <c r="J653" t="s">
        <v>569</v>
      </c>
      <c r="K653">
        <v>0</v>
      </c>
      <c r="L653" t="s">
        <v>569</v>
      </c>
      <c r="M653" t="s">
        <v>569</v>
      </c>
      <c r="N653" t="s">
        <v>569</v>
      </c>
      <c r="O653" t="s">
        <v>569</v>
      </c>
      <c r="P653" t="s">
        <v>569</v>
      </c>
      <c r="Q653" t="s">
        <v>569</v>
      </c>
      <c r="R653">
        <v>-33.874797119999997</v>
      </c>
      <c r="S653" t="s">
        <v>1111</v>
      </c>
      <c r="T653">
        <v>151.20114649999999</v>
      </c>
      <c r="U653" t="s">
        <v>1201</v>
      </c>
      <c r="V653" t="s">
        <v>569</v>
      </c>
      <c r="W653" t="s">
        <v>569</v>
      </c>
      <c r="X653" t="s">
        <v>569</v>
      </c>
      <c r="Y653" t="s">
        <v>569</v>
      </c>
      <c r="Z653" t="s">
        <v>569</v>
      </c>
      <c r="AA653" t="s">
        <v>1229</v>
      </c>
      <c r="AB653">
        <v>50</v>
      </c>
      <c r="AC65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4" spans="1:29" x14ac:dyDescent="0.25">
      <c r="A654" t="s">
        <v>766</v>
      </c>
      <c r="B654" t="s">
        <v>764</v>
      </c>
      <c r="C654" t="s">
        <v>764</v>
      </c>
      <c r="D654" t="s">
        <v>756</v>
      </c>
      <c r="E654" t="s">
        <v>757</v>
      </c>
      <c r="F654" t="s">
        <v>569</v>
      </c>
      <c r="G654" t="s">
        <v>569</v>
      </c>
      <c r="H654" t="s">
        <v>569</v>
      </c>
      <c r="I654" t="s">
        <v>569</v>
      </c>
      <c r="J654" t="s">
        <v>569</v>
      </c>
      <c r="K654">
        <v>0</v>
      </c>
      <c r="L654" t="s">
        <v>569</v>
      </c>
      <c r="M654" t="s">
        <v>569</v>
      </c>
      <c r="N654" t="s">
        <v>569</v>
      </c>
      <c r="O654" t="s">
        <v>569</v>
      </c>
      <c r="P654" t="s">
        <v>569</v>
      </c>
      <c r="Q654" t="s">
        <v>569</v>
      </c>
      <c r="R654">
        <v>11.54947743</v>
      </c>
      <c r="S654" t="s">
        <v>1213</v>
      </c>
      <c r="T654">
        <v>104.9176291</v>
      </c>
      <c r="U654" t="s">
        <v>1201</v>
      </c>
      <c r="V654" t="s">
        <v>569</v>
      </c>
      <c r="W654" t="s">
        <v>569</v>
      </c>
      <c r="X654" t="s">
        <v>569</v>
      </c>
      <c r="Y654" t="s">
        <v>569</v>
      </c>
      <c r="Z654" t="s">
        <v>569</v>
      </c>
      <c r="AA654" t="s">
        <v>1229</v>
      </c>
      <c r="AB654">
        <v>50</v>
      </c>
      <c r="AC65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5" spans="1:29" x14ac:dyDescent="0.25">
      <c r="A655" t="s">
        <v>703</v>
      </c>
      <c r="B655" t="s">
        <v>696</v>
      </c>
      <c r="C655" t="s">
        <v>677</v>
      </c>
      <c r="D655" t="s">
        <v>522</v>
      </c>
      <c r="E655" t="s">
        <v>523</v>
      </c>
      <c r="F655" t="s">
        <v>569</v>
      </c>
      <c r="G655" t="s">
        <v>569</v>
      </c>
      <c r="H655" t="s">
        <v>569</v>
      </c>
      <c r="I655" t="s">
        <v>569</v>
      </c>
      <c r="J655" t="s">
        <v>569</v>
      </c>
      <c r="K655">
        <v>0</v>
      </c>
      <c r="L655" t="s">
        <v>569</v>
      </c>
      <c r="M655" t="s">
        <v>569</v>
      </c>
      <c r="N655" t="s">
        <v>569</v>
      </c>
      <c r="O655" t="s">
        <v>569</v>
      </c>
      <c r="P655" t="s">
        <v>569</v>
      </c>
      <c r="Q655" t="s">
        <v>569</v>
      </c>
      <c r="R655">
        <v>-33.883830179999997</v>
      </c>
      <c r="S655" t="s">
        <v>1111</v>
      </c>
      <c r="T655">
        <v>151.19514849999999</v>
      </c>
      <c r="U655" t="s">
        <v>1201</v>
      </c>
      <c r="V655" t="s">
        <v>569</v>
      </c>
      <c r="W655" t="s">
        <v>569</v>
      </c>
      <c r="X655" t="s">
        <v>569</v>
      </c>
      <c r="Y655" t="s">
        <v>569</v>
      </c>
      <c r="Z655" s="9">
        <v>0</v>
      </c>
      <c r="AA655" t="s">
        <v>1229</v>
      </c>
      <c r="AB655">
        <v>50</v>
      </c>
      <c r="AC65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6" spans="1:29" x14ac:dyDescent="0.25">
      <c r="A656" t="s">
        <v>520</v>
      </c>
      <c r="B656" t="s">
        <v>505</v>
      </c>
      <c r="C656" t="s">
        <v>504</v>
      </c>
      <c r="D656" t="s">
        <v>501</v>
      </c>
      <c r="E656" t="s">
        <v>502</v>
      </c>
      <c r="F656" t="s">
        <v>569</v>
      </c>
      <c r="G656" t="s">
        <v>569</v>
      </c>
      <c r="H656" t="s">
        <v>569</v>
      </c>
      <c r="I656" t="s">
        <v>569</v>
      </c>
      <c r="J656" t="s">
        <v>569</v>
      </c>
      <c r="K656">
        <v>0</v>
      </c>
      <c r="L656" t="s">
        <v>569</v>
      </c>
      <c r="M656" t="s">
        <v>569</v>
      </c>
      <c r="N656" t="s">
        <v>569</v>
      </c>
      <c r="O656" t="s">
        <v>569</v>
      </c>
      <c r="P656" t="s">
        <v>569</v>
      </c>
      <c r="Q656" t="s">
        <v>569</v>
      </c>
      <c r="R656">
        <v>48.463517099999997</v>
      </c>
      <c r="S656" t="s">
        <v>1213</v>
      </c>
      <c r="T656">
        <v>-123.3117163</v>
      </c>
      <c r="U656" t="s">
        <v>1206</v>
      </c>
      <c r="V656" t="s">
        <v>569</v>
      </c>
      <c r="W656" t="s">
        <v>569</v>
      </c>
      <c r="X656" t="s">
        <v>569</v>
      </c>
      <c r="Y656" t="s">
        <v>569</v>
      </c>
      <c r="Z656" t="s">
        <v>569</v>
      </c>
      <c r="AA656" t="s">
        <v>1229</v>
      </c>
      <c r="AB656">
        <v>50</v>
      </c>
      <c r="AC65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7" spans="1:29" x14ac:dyDescent="0.25">
      <c r="A657" t="s">
        <v>888</v>
      </c>
      <c r="B657" t="s">
        <v>505</v>
      </c>
      <c r="C657" t="s">
        <v>504</v>
      </c>
      <c r="D657" t="s">
        <v>501</v>
      </c>
      <c r="E657" t="s">
        <v>502</v>
      </c>
      <c r="F657" t="s">
        <v>569</v>
      </c>
      <c r="G657" t="s">
        <v>569</v>
      </c>
      <c r="H657" t="s">
        <v>569</v>
      </c>
      <c r="I657" t="s">
        <v>569</v>
      </c>
      <c r="J657" t="s">
        <v>569</v>
      </c>
      <c r="K657">
        <v>0</v>
      </c>
      <c r="L657" t="s">
        <v>569</v>
      </c>
      <c r="M657" t="s">
        <v>569</v>
      </c>
      <c r="N657" t="s">
        <v>569</v>
      </c>
      <c r="O657" t="s">
        <v>569</v>
      </c>
      <c r="P657" t="s">
        <v>569</v>
      </c>
      <c r="Q657" t="s">
        <v>569</v>
      </c>
      <c r="R657">
        <v>48.455260330000002</v>
      </c>
      <c r="S657" t="s">
        <v>1213</v>
      </c>
      <c r="T657">
        <v>-123.37547910000001</v>
      </c>
      <c r="U657" t="s">
        <v>1206</v>
      </c>
      <c r="V657" t="s">
        <v>569</v>
      </c>
      <c r="W657" t="s">
        <v>569</v>
      </c>
      <c r="X657" t="s">
        <v>569</v>
      </c>
      <c r="Y657" t="s">
        <v>569</v>
      </c>
      <c r="Z657" t="s">
        <v>569</v>
      </c>
      <c r="AA657" t="s">
        <v>1229</v>
      </c>
      <c r="AB657">
        <v>50</v>
      </c>
      <c r="AC65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8" spans="1:29" x14ac:dyDescent="0.25">
      <c r="A658" t="s">
        <v>825</v>
      </c>
      <c r="B658" t="s">
        <v>557</v>
      </c>
      <c r="C658" t="s">
        <v>504</v>
      </c>
      <c r="D658" t="s">
        <v>501</v>
      </c>
      <c r="E658" t="s">
        <v>502</v>
      </c>
      <c r="F658" t="s">
        <v>569</v>
      </c>
      <c r="G658" t="s">
        <v>569</v>
      </c>
      <c r="H658" t="s">
        <v>569</v>
      </c>
      <c r="I658" t="s">
        <v>569</v>
      </c>
      <c r="J658" t="s">
        <v>569</v>
      </c>
      <c r="K658" t="s">
        <v>569</v>
      </c>
      <c r="L658" t="s">
        <v>569</v>
      </c>
      <c r="M658" t="s">
        <v>569</v>
      </c>
      <c r="N658" t="s">
        <v>569</v>
      </c>
      <c r="O658" t="s">
        <v>569</v>
      </c>
      <c r="P658" t="s">
        <v>569</v>
      </c>
      <c r="Q658" t="s">
        <v>569</v>
      </c>
      <c r="R658">
        <v>49.873327779999997</v>
      </c>
      <c r="S658" t="s">
        <v>1213</v>
      </c>
      <c r="T658">
        <v>-124.52066670000001</v>
      </c>
      <c r="U658" t="s">
        <v>1206</v>
      </c>
      <c r="V658" t="s">
        <v>569</v>
      </c>
      <c r="W658" t="s">
        <v>569</v>
      </c>
      <c r="X658" t="s">
        <v>569</v>
      </c>
      <c r="Y658" t="s">
        <v>569</v>
      </c>
      <c r="Z658" t="s">
        <v>569</v>
      </c>
      <c r="AA658" t="s">
        <v>1230</v>
      </c>
      <c r="AB658">
        <v>50</v>
      </c>
      <c r="AC65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59" spans="1:29" x14ac:dyDescent="0.25">
      <c r="A659" t="s">
        <v>1493</v>
      </c>
      <c r="B659" t="s">
        <v>1388</v>
      </c>
      <c r="C659" t="s">
        <v>504</v>
      </c>
      <c r="D659" t="s">
        <v>501</v>
      </c>
      <c r="E659" t="s">
        <v>502</v>
      </c>
      <c r="F659" t="s">
        <v>569</v>
      </c>
      <c r="G659" t="s">
        <v>569</v>
      </c>
      <c r="H659" t="s">
        <v>569</v>
      </c>
      <c r="I659" t="s">
        <v>569</v>
      </c>
      <c r="J659" t="s">
        <v>569</v>
      </c>
      <c r="K659" t="s">
        <v>569</v>
      </c>
      <c r="L659" t="s">
        <v>569</v>
      </c>
      <c r="M659" t="s">
        <v>569</v>
      </c>
      <c r="N659" t="s">
        <v>569</v>
      </c>
      <c r="O659" t="s">
        <v>569</v>
      </c>
      <c r="P659" t="s">
        <v>569</v>
      </c>
      <c r="Q659" t="s">
        <v>569</v>
      </c>
      <c r="R659" t="s">
        <v>569</v>
      </c>
      <c r="S659" t="s">
        <v>569</v>
      </c>
      <c r="T659" t="s">
        <v>569</v>
      </c>
      <c r="U659" t="s">
        <v>569</v>
      </c>
      <c r="V659" t="s">
        <v>569</v>
      </c>
      <c r="W659" t="s">
        <v>569</v>
      </c>
      <c r="X659" t="s">
        <v>569</v>
      </c>
      <c r="Y659" t="s">
        <v>569</v>
      </c>
      <c r="Z659" t="s">
        <v>569</v>
      </c>
      <c r="AA659" t="s">
        <v>569</v>
      </c>
      <c r="AB659">
        <v>50</v>
      </c>
      <c r="AC659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0" spans="1:29" x14ac:dyDescent="0.25">
      <c r="A660" t="s">
        <v>754</v>
      </c>
      <c r="B660" t="s">
        <v>753</v>
      </c>
      <c r="C660" t="s">
        <v>504</v>
      </c>
      <c r="D660" t="s">
        <v>501</v>
      </c>
      <c r="E660" t="s">
        <v>502</v>
      </c>
      <c r="F660" t="s">
        <v>569</v>
      </c>
      <c r="G660" t="s">
        <v>569</v>
      </c>
      <c r="H660" t="s">
        <v>569</v>
      </c>
      <c r="I660" t="s">
        <v>569</v>
      </c>
      <c r="J660" t="s">
        <v>569</v>
      </c>
      <c r="K660">
        <v>0</v>
      </c>
      <c r="L660" t="s">
        <v>569</v>
      </c>
      <c r="M660" t="s">
        <v>569</v>
      </c>
      <c r="N660" t="s">
        <v>569</v>
      </c>
      <c r="O660" t="s">
        <v>569</v>
      </c>
      <c r="P660" t="s">
        <v>569</v>
      </c>
      <c r="Q660" t="s">
        <v>569</v>
      </c>
      <c r="R660">
        <v>49.196176180000002</v>
      </c>
      <c r="S660" t="s">
        <v>1213</v>
      </c>
      <c r="T660">
        <v>-123.17785259999999</v>
      </c>
      <c r="U660" t="s">
        <v>1206</v>
      </c>
      <c r="V660" t="s">
        <v>569</v>
      </c>
      <c r="W660" t="s">
        <v>569</v>
      </c>
      <c r="X660" t="s">
        <v>569</v>
      </c>
      <c r="Y660" t="s">
        <v>569</v>
      </c>
      <c r="Z660" t="s">
        <v>569</v>
      </c>
      <c r="AA660" t="s">
        <v>1229</v>
      </c>
      <c r="AB660">
        <v>50</v>
      </c>
      <c r="AC66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1" spans="1:29" x14ac:dyDescent="0.25">
      <c r="A661" t="s">
        <v>1382</v>
      </c>
      <c r="B661" t="s">
        <v>572</v>
      </c>
      <c r="C661" t="s">
        <v>504</v>
      </c>
      <c r="D661" t="s">
        <v>501</v>
      </c>
      <c r="E661" t="s">
        <v>502</v>
      </c>
      <c r="F661" t="s">
        <v>569</v>
      </c>
      <c r="G661" t="s">
        <v>569</v>
      </c>
      <c r="H661" t="s">
        <v>569</v>
      </c>
      <c r="I661" t="s">
        <v>569</v>
      </c>
      <c r="J661" t="s">
        <v>569</v>
      </c>
      <c r="K661" t="s">
        <v>569</v>
      </c>
      <c r="L661" t="s">
        <v>569</v>
      </c>
      <c r="M661" t="s">
        <v>569</v>
      </c>
      <c r="N661" t="s">
        <v>569</v>
      </c>
      <c r="O661" t="s">
        <v>569</v>
      </c>
      <c r="P661" t="s">
        <v>569</v>
      </c>
      <c r="Q661" t="s">
        <v>569</v>
      </c>
      <c r="R661" t="s">
        <v>569</v>
      </c>
      <c r="S661" t="s">
        <v>569</v>
      </c>
      <c r="T661" t="s">
        <v>569</v>
      </c>
      <c r="U661" t="s">
        <v>569</v>
      </c>
      <c r="V661" t="s">
        <v>569</v>
      </c>
      <c r="W661" t="s">
        <v>569</v>
      </c>
      <c r="X661" t="s">
        <v>569</v>
      </c>
      <c r="Y661" t="s">
        <v>569</v>
      </c>
      <c r="Z661" t="s">
        <v>569</v>
      </c>
      <c r="AA661" t="s">
        <v>569</v>
      </c>
      <c r="AB661">
        <v>50</v>
      </c>
      <c r="AC661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2" spans="1:29" x14ac:dyDescent="0.25">
      <c r="A662" t="s">
        <v>729</v>
      </c>
      <c r="B662" t="s">
        <v>726</v>
      </c>
      <c r="C662" t="s">
        <v>728</v>
      </c>
      <c r="D662" t="s">
        <v>652</v>
      </c>
      <c r="E662" t="s">
        <v>653</v>
      </c>
      <c r="F662" t="s">
        <v>569</v>
      </c>
      <c r="G662" t="s">
        <v>569</v>
      </c>
      <c r="H662" t="s">
        <v>569</v>
      </c>
      <c r="I662" t="s">
        <v>569</v>
      </c>
      <c r="J662" t="s">
        <v>569</v>
      </c>
      <c r="K662">
        <v>0</v>
      </c>
      <c r="L662" t="s">
        <v>569</v>
      </c>
      <c r="M662" t="s">
        <v>569</v>
      </c>
      <c r="N662" t="s">
        <v>569</v>
      </c>
      <c r="O662" t="s">
        <v>569</v>
      </c>
      <c r="P662" t="s">
        <v>569</v>
      </c>
      <c r="Q662" t="s">
        <v>569</v>
      </c>
      <c r="R662">
        <v>47.77129128</v>
      </c>
      <c r="S662" t="s">
        <v>1213</v>
      </c>
      <c r="T662">
        <v>-122.4402237</v>
      </c>
      <c r="U662" t="s">
        <v>1206</v>
      </c>
      <c r="V662" t="s">
        <v>569</v>
      </c>
      <c r="W662" t="s">
        <v>569</v>
      </c>
      <c r="X662" t="s">
        <v>569</v>
      </c>
      <c r="Y662" t="s">
        <v>569</v>
      </c>
      <c r="Z662" s="9">
        <v>0</v>
      </c>
      <c r="AA662" t="s">
        <v>1229</v>
      </c>
      <c r="AB662">
        <v>50</v>
      </c>
      <c r="AC66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3" spans="1:29" x14ac:dyDescent="0.25">
      <c r="A663" t="s">
        <v>730</v>
      </c>
      <c r="B663" t="s">
        <v>505</v>
      </c>
      <c r="C663" t="s">
        <v>504</v>
      </c>
      <c r="D663" t="s">
        <v>501</v>
      </c>
      <c r="E663" t="s">
        <v>502</v>
      </c>
      <c r="F663" t="s">
        <v>569</v>
      </c>
      <c r="G663" t="s">
        <v>569</v>
      </c>
      <c r="H663" t="s">
        <v>569</v>
      </c>
      <c r="I663" t="s">
        <v>569</v>
      </c>
      <c r="J663" t="s">
        <v>569</v>
      </c>
      <c r="K663">
        <v>0</v>
      </c>
      <c r="L663" t="s">
        <v>569</v>
      </c>
      <c r="M663" t="s">
        <v>569</v>
      </c>
      <c r="N663" t="s">
        <v>569</v>
      </c>
      <c r="O663" t="s">
        <v>569</v>
      </c>
      <c r="P663" t="s">
        <v>569</v>
      </c>
      <c r="Q663" t="s">
        <v>569</v>
      </c>
      <c r="R663">
        <v>48.422205589999997</v>
      </c>
      <c r="S663" t="s">
        <v>1213</v>
      </c>
      <c r="T663">
        <v>-123.3739758</v>
      </c>
      <c r="U663" t="s">
        <v>1206</v>
      </c>
      <c r="V663" t="s">
        <v>569</v>
      </c>
      <c r="W663" t="s">
        <v>569</v>
      </c>
      <c r="X663" t="s">
        <v>569</v>
      </c>
      <c r="Y663" t="s">
        <v>569</v>
      </c>
      <c r="Z663" s="9">
        <v>0</v>
      </c>
      <c r="AA663" t="s">
        <v>1229</v>
      </c>
      <c r="AB663">
        <v>50</v>
      </c>
      <c r="AC66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4" spans="1:29" x14ac:dyDescent="0.25">
      <c r="A664" t="s">
        <v>908</v>
      </c>
      <c r="B664" t="s">
        <v>505</v>
      </c>
      <c r="C664" t="s">
        <v>504</v>
      </c>
      <c r="D664" t="s">
        <v>501</v>
      </c>
      <c r="E664" t="s">
        <v>502</v>
      </c>
      <c r="F664" t="s">
        <v>569</v>
      </c>
      <c r="G664" t="s">
        <v>569</v>
      </c>
      <c r="H664" t="s">
        <v>569</v>
      </c>
      <c r="I664" t="s">
        <v>569</v>
      </c>
      <c r="J664" t="s">
        <v>569</v>
      </c>
      <c r="K664">
        <v>0</v>
      </c>
      <c r="L664" t="s">
        <v>569</v>
      </c>
      <c r="M664" t="s">
        <v>569</v>
      </c>
      <c r="N664" t="s">
        <v>569</v>
      </c>
      <c r="O664" t="s">
        <v>569</v>
      </c>
      <c r="P664" t="s">
        <v>569</v>
      </c>
      <c r="Q664" t="s">
        <v>569</v>
      </c>
      <c r="R664">
        <v>48.421292450000003</v>
      </c>
      <c r="S664" t="s">
        <v>1213</v>
      </c>
      <c r="T664">
        <v>-123.3665793</v>
      </c>
      <c r="U664" t="s">
        <v>1206</v>
      </c>
      <c r="V664" t="s">
        <v>569</v>
      </c>
      <c r="W664" t="s">
        <v>569</v>
      </c>
      <c r="X664" t="s">
        <v>569</v>
      </c>
      <c r="Y664" t="s">
        <v>569</v>
      </c>
      <c r="Z664" t="s">
        <v>569</v>
      </c>
      <c r="AA664" t="s">
        <v>1230</v>
      </c>
      <c r="AB664">
        <v>50</v>
      </c>
      <c r="AC66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5" spans="1:29" x14ac:dyDescent="0.25">
      <c r="A665" t="s">
        <v>889</v>
      </c>
      <c r="B665" t="s">
        <v>505</v>
      </c>
      <c r="C665" t="s">
        <v>504</v>
      </c>
      <c r="D665" t="s">
        <v>501</v>
      </c>
      <c r="E665" t="s">
        <v>502</v>
      </c>
      <c r="F665" t="s">
        <v>569</v>
      </c>
      <c r="G665" t="s">
        <v>569</v>
      </c>
      <c r="H665" t="s">
        <v>569</v>
      </c>
      <c r="I665" t="s">
        <v>569</v>
      </c>
      <c r="J665" t="s">
        <v>569</v>
      </c>
      <c r="K665">
        <v>0</v>
      </c>
      <c r="L665" t="s">
        <v>569</v>
      </c>
      <c r="M665" t="s">
        <v>569</v>
      </c>
      <c r="N665" t="s">
        <v>569</v>
      </c>
      <c r="O665" t="s">
        <v>569</v>
      </c>
      <c r="P665" t="s">
        <v>569</v>
      </c>
      <c r="Q665" t="s">
        <v>569</v>
      </c>
      <c r="R665">
        <v>48.422134389999997</v>
      </c>
      <c r="S665" t="s">
        <v>1213</v>
      </c>
      <c r="T665">
        <v>-123.360731</v>
      </c>
      <c r="U665" t="s">
        <v>1206</v>
      </c>
      <c r="V665" t="s">
        <v>569</v>
      </c>
      <c r="W665" t="s">
        <v>569</v>
      </c>
      <c r="X665" t="s">
        <v>569</v>
      </c>
      <c r="Y665" t="s">
        <v>569</v>
      </c>
      <c r="Z665" t="s">
        <v>569</v>
      </c>
      <c r="AA665" t="s">
        <v>1229</v>
      </c>
      <c r="AB665">
        <v>50</v>
      </c>
      <c r="AC66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6" spans="1:29" x14ac:dyDescent="0.25">
      <c r="A666" t="s">
        <v>807</v>
      </c>
      <c r="B666" t="s">
        <v>505</v>
      </c>
      <c r="C666" t="s">
        <v>504</v>
      </c>
      <c r="D666" t="s">
        <v>501</v>
      </c>
      <c r="E666" t="s">
        <v>502</v>
      </c>
      <c r="F666" t="s">
        <v>569</v>
      </c>
      <c r="G666" t="s">
        <v>569</v>
      </c>
      <c r="H666" t="s">
        <v>569</v>
      </c>
      <c r="I666" t="s">
        <v>569</v>
      </c>
      <c r="J666" t="s">
        <v>569</v>
      </c>
      <c r="K666">
        <v>0</v>
      </c>
      <c r="L666" t="s">
        <v>569</v>
      </c>
      <c r="M666" t="s">
        <v>569</v>
      </c>
      <c r="N666" t="s">
        <v>569</v>
      </c>
      <c r="O666" t="s">
        <v>569</v>
      </c>
      <c r="P666" t="s">
        <v>569</v>
      </c>
      <c r="Q666" t="s">
        <v>569</v>
      </c>
      <c r="R666">
        <v>48.466654390000002</v>
      </c>
      <c r="S666" t="s">
        <v>1213</v>
      </c>
      <c r="T666">
        <v>-123.4330595</v>
      </c>
      <c r="U666" t="s">
        <v>1206</v>
      </c>
      <c r="V666" t="s">
        <v>569</v>
      </c>
      <c r="W666" t="s">
        <v>569</v>
      </c>
      <c r="X666" t="s">
        <v>569</v>
      </c>
      <c r="Y666" t="s">
        <v>569</v>
      </c>
      <c r="Z666" t="s">
        <v>569</v>
      </c>
      <c r="AA666" t="s">
        <v>1229</v>
      </c>
      <c r="AB666">
        <v>50</v>
      </c>
      <c r="AC66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7" spans="1:29" x14ac:dyDescent="0.25">
      <c r="A667" t="s">
        <v>890</v>
      </c>
      <c r="B667" t="s">
        <v>505</v>
      </c>
      <c r="C667" t="s">
        <v>504</v>
      </c>
      <c r="D667" t="s">
        <v>501</v>
      </c>
      <c r="E667" t="s">
        <v>502</v>
      </c>
      <c r="F667" t="s">
        <v>569</v>
      </c>
      <c r="G667" t="s">
        <v>569</v>
      </c>
      <c r="H667" t="s">
        <v>569</v>
      </c>
      <c r="I667" t="s">
        <v>569</v>
      </c>
      <c r="J667" t="s">
        <v>569</v>
      </c>
      <c r="K667">
        <v>0</v>
      </c>
      <c r="L667" t="s">
        <v>569</v>
      </c>
      <c r="M667" t="s">
        <v>569</v>
      </c>
      <c r="N667" t="s">
        <v>569</v>
      </c>
      <c r="O667" t="s">
        <v>569</v>
      </c>
      <c r="P667" t="s">
        <v>569</v>
      </c>
      <c r="Q667" t="s">
        <v>569</v>
      </c>
      <c r="R667">
        <v>48.43234709</v>
      </c>
      <c r="S667" t="s">
        <v>1213</v>
      </c>
      <c r="T667">
        <v>-123.36951259999999</v>
      </c>
      <c r="U667" t="s">
        <v>1206</v>
      </c>
      <c r="V667" t="s">
        <v>569</v>
      </c>
      <c r="W667" t="s">
        <v>569</v>
      </c>
      <c r="X667" t="s">
        <v>569</v>
      </c>
      <c r="Y667" t="s">
        <v>569</v>
      </c>
      <c r="Z667" t="s">
        <v>569</v>
      </c>
      <c r="AA667" t="s">
        <v>1229</v>
      </c>
      <c r="AB667">
        <v>50</v>
      </c>
      <c r="AC66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8" spans="1:29" x14ac:dyDescent="0.25">
      <c r="A668" t="s">
        <v>1411</v>
      </c>
      <c r="B668" t="s">
        <v>505</v>
      </c>
      <c r="C668" t="s">
        <v>504</v>
      </c>
      <c r="D668" t="s">
        <v>501</v>
      </c>
      <c r="E668" t="s">
        <v>502</v>
      </c>
      <c r="F668" t="s">
        <v>569</v>
      </c>
      <c r="G668" t="s">
        <v>569</v>
      </c>
      <c r="H668" t="s">
        <v>569</v>
      </c>
      <c r="I668" t="s">
        <v>569</v>
      </c>
      <c r="J668" t="s">
        <v>569</v>
      </c>
      <c r="K668" t="s">
        <v>569</v>
      </c>
      <c r="L668" t="s">
        <v>569</v>
      </c>
      <c r="M668" t="s">
        <v>569</v>
      </c>
      <c r="N668" t="s">
        <v>569</v>
      </c>
      <c r="O668" t="s">
        <v>569</v>
      </c>
      <c r="P668" t="s">
        <v>569</v>
      </c>
      <c r="Q668" t="s">
        <v>569</v>
      </c>
      <c r="R668" t="s">
        <v>569</v>
      </c>
      <c r="S668" t="s">
        <v>569</v>
      </c>
      <c r="T668" t="s">
        <v>569</v>
      </c>
      <c r="U668" t="s">
        <v>569</v>
      </c>
      <c r="V668" t="s">
        <v>569</v>
      </c>
      <c r="W668" t="s">
        <v>569</v>
      </c>
      <c r="X668" t="s">
        <v>569</v>
      </c>
      <c r="Y668" t="s">
        <v>569</v>
      </c>
      <c r="Z668" t="s">
        <v>569</v>
      </c>
      <c r="AA668" t="s">
        <v>569</v>
      </c>
      <c r="AB668">
        <v>50</v>
      </c>
      <c r="AC668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69" spans="1:29" x14ac:dyDescent="0.25">
      <c r="A669" t="s">
        <v>748</v>
      </c>
      <c r="B669" t="s">
        <v>505</v>
      </c>
      <c r="C669" t="s">
        <v>504</v>
      </c>
      <c r="D669" t="s">
        <v>501</v>
      </c>
      <c r="E669" t="s">
        <v>502</v>
      </c>
      <c r="F669" t="s">
        <v>569</v>
      </c>
      <c r="G669" t="s">
        <v>569</v>
      </c>
      <c r="H669" t="s">
        <v>569</v>
      </c>
      <c r="I669" t="s">
        <v>569</v>
      </c>
      <c r="J669" t="s">
        <v>569</v>
      </c>
      <c r="K669">
        <v>0</v>
      </c>
      <c r="L669" t="s">
        <v>569</v>
      </c>
      <c r="M669" t="s">
        <v>569</v>
      </c>
      <c r="N669" t="s">
        <v>569</v>
      </c>
      <c r="O669" t="s">
        <v>569</v>
      </c>
      <c r="P669" t="s">
        <v>569</v>
      </c>
      <c r="Q669" t="s">
        <v>569</v>
      </c>
      <c r="R669">
        <v>48.640434569999996</v>
      </c>
      <c r="S669" t="s">
        <v>1213</v>
      </c>
      <c r="T669">
        <v>-123.4297282</v>
      </c>
      <c r="U669" t="s">
        <v>1206</v>
      </c>
      <c r="V669" t="s">
        <v>569</v>
      </c>
      <c r="W669" t="s">
        <v>569</v>
      </c>
      <c r="X669" t="s">
        <v>569</v>
      </c>
      <c r="Y669" t="s">
        <v>569</v>
      </c>
      <c r="Z669" s="9">
        <v>0</v>
      </c>
      <c r="AA669" t="s">
        <v>1229</v>
      </c>
      <c r="AB669">
        <v>50</v>
      </c>
      <c r="AC66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0" spans="1:29" x14ac:dyDescent="0.25">
      <c r="A670" t="s">
        <v>532</v>
      </c>
      <c r="B670" t="s">
        <v>505</v>
      </c>
      <c r="C670" t="s">
        <v>504</v>
      </c>
      <c r="D670" t="s">
        <v>501</v>
      </c>
      <c r="E670" t="s">
        <v>502</v>
      </c>
      <c r="F670" t="s">
        <v>569</v>
      </c>
      <c r="G670" t="s">
        <v>569</v>
      </c>
      <c r="H670" t="s">
        <v>569</v>
      </c>
      <c r="I670" t="s">
        <v>569</v>
      </c>
      <c r="J670" t="s">
        <v>569</v>
      </c>
      <c r="K670">
        <v>0</v>
      </c>
      <c r="L670" t="s">
        <v>569</v>
      </c>
      <c r="M670" t="s">
        <v>569</v>
      </c>
      <c r="N670" t="s">
        <v>569</v>
      </c>
      <c r="O670" t="s">
        <v>569</v>
      </c>
      <c r="P670" t="s">
        <v>569</v>
      </c>
      <c r="Q670" t="s">
        <v>569</v>
      </c>
      <c r="R670">
        <v>48.408921409999998</v>
      </c>
      <c r="S670" t="s">
        <v>1213</v>
      </c>
      <c r="T670">
        <v>-123.56162310000001</v>
      </c>
      <c r="U670" t="s">
        <v>1206</v>
      </c>
      <c r="V670" t="s">
        <v>569</v>
      </c>
      <c r="W670" t="s">
        <v>569</v>
      </c>
      <c r="X670" t="s">
        <v>569</v>
      </c>
      <c r="Y670" t="s">
        <v>569</v>
      </c>
      <c r="Z670" t="s">
        <v>569</v>
      </c>
      <c r="AA670" t="s">
        <v>1229</v>
      </c>
      <c r="AB670">
        <v>50</v>
      </c>
      <c r="AC67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1" spans="1:29" x14ac:dyDescent="0.25">
      <c r="A671" t="s">
        <v>704</v>
      </c>
      <c r="B671" t="s">
        <v>696</v>
      </c>
      <c r="C671" t="s">
        <v>677</v>
      </c>
      <c r="D671" t="s">
        <v>522</v>
      </c>
      <c r="E671" t="s">
        <v>523</v>
      </c>
      <c r="F671" t="s">
        <v>569</v>
      </c>
      <c r="G671" t="s">
        <v>569</v>
      </c>
      <c r="H671" t="s">
        <v>569</v>
      </c>
      <c r="I671" t="s">
        <v>569</v>
      </c>
      <c r="J671" t="s">
        <v>569</v>
      </c>
      <c r="K671">
        <v>0</v>
      </c>
      <c r="L671" t="s">
        <v>569</v>
      </c>
      <c r="M671" t="s">
        <v>569</v>
      </c>
      <c r="N671" t="s">
        <v>569</v>
      </c>
      <c r="O671" t="s">
        <v>569</v>
      </c>
      <c r="P671" t="s">
        <v>569</v>
      </c>
      <c r="Q671" t="s">
        <v>569</v>
      </c>
      <c r="R671">
        <v>-33.885949959999998</v>
      </c>
      <c r="S671" t="s">
        <v>1111</v>
      </c>
      <c r="T671">
        <v>151.19251729999999</v>
      </c>
      <c r="U671" t="s">
        <v>1201</v>
      </c>
      <c r="V671" t="s">
        <v>569</v>
      </c>
      <c r="W671" t="s">
        <v>569</v>
      </c>
      <c r="X671" t="s">
        <v>569</v>
      </c>
      <c r="Y671" t="s">
        <v>569</v>
      </c>
      <c r="Z671" s="9">
        <v>0</v>
      </c>
      <c r="AA671" t="s">
        <v>1229</v>
      </c>
      <c r="AB671">
        <v>50</v>
      </c>
      <c r="AC67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2" spans="1:29" x14ac:dyDescent="0.25">
      <c r="A672" t="s">
        <v>668</v>
      </c>
      <c r="B672" t="s">
        <v>582</v>
      </c>
      <c r="C672" t="s">
        <v>504</v>
      </c>
      <c r="D672" t="s">
        <v>501</v>
      </c>
      <c r="E672" t="s">
        <v>502</v>
      </c>
      <c r="F672" t="s">
        <v>569</v>
      </c>
      <c r="G672" t="s">
        <v>569</v>
      </c>
      <c r="H672" t="s">
        <v>569</v>
      </c>
      <c r="I672" t="s">
        <v>569</v>
      </c>
      <c r="J672" t="s">
        <v>569</v>
      </c>
      <c r="K672">
        <v>0</v>
      </c>
      <c r="L672" t="s">
        <v>569</v>
      </c>
      <c r="M672" t="s">
        <v>569</v>
      </c>
      <c r="N672" t="s">
        <v>569</v>
      </c>
      <c r="O672" t="s">
        <v>569</v>
      </c>
      <c r="P672" t="s">
        <v>569</v>
      </c>
      <c r="Q672" t="s">
        <v>569</v>
      </c>
      <c r="R672">
        <v>49.257162149999999</v>
      </c>
      <c r="S672" t="s">
        <v>1213</v>
      </c>
      <c r="T672">
        <v>-124.81361390000001</v>
      </c>
      <c r="U672" t="s">
        <v>1206</v>
      </c>
      <c r="V672" t="s">
        <v>569</v>
      </c>
      <c r="W672" t="s">
        <v>569</v>
      </c>
      <c r="X672" t="s">
        <v>569</v>
      </c>
      <c r="Y672" t="s">
        <v>569</v>
      </c>
      <c r="Z672" t="s">
        <v>569</v>
      </c>
      <c r="AA672" t="s">
        <v>1229</v>
      </c>
      <c r="AB672">
        <v>50</v>
      </c>
      <c r="AC67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3" spans="1:29" x14ac:dyDescent="0.25">
      <c r="A673" t="s">
        <v>904</v>
      </c>
      <c r="B673" t="s">
        <v>896</v>
      </c>
      <c r="C673" t="s">
        <v>504</v>
      </c>
      <c r="D673" t="s">
        <v>501</v>
      </c>
      <c r="E673" t="s">
        <v>502</v>
      </c>
      <c r="F673" t="s">
        <v>569</v>
      </c>
      <c r="G673" t="s">
        <v>569</v>
      </c>
      <c r="H673" t="s">
        <v>569</v>
      </c>
      <c r="I673" t="s">
        <v>569</v>
      </c>
      <c r="J673" t="s">
        <v>569</v>
      </c>
      <c r="K673">
        <v>0</v>
      </c>
      <c r="L673" t="s">
        <v>569</v>
      </c>
      <c r="M673" t="s">
        <v>569</v>
      </c>
      <c r="N673" t="s">
        <v>569</v>
      </c>
      <c r="O673" t="s">
        <v>569</v>
      </c>
      <c r="P673" t="s">
        <v>569</v>
      </c>
      <c r="Q673" t="s">
        <v>569</v>
      </c>
      <c r="R673">
        <v>48.844682339999999</v>
      </c>
      <c r="S673" t="s">
        <v>1213</v>
      </c>
      <c r="T673">
        <v>-123.32525339999999</v>
      </c>
      <c r="U673" t="s">
        <v>1206</v>
      </c>
      <c r="V673" t="s">
        <v>569</v>
      </c>
      <c r="W673" t="s">
        <v>569</v>
      </c>
      <c r="X673" t="s">
        <v>569</v>
      </c>
      <c r="Y673" t="s">
        <v>569</v>
      </c>
      <c r="Z673" t="s">
        <v>569</v>
      </c>
      <c r="AA673" t="s">
        <v>1229</v>
      </c>
      <c r="AB673">
        <v>50</v>
      </c>
      <c r="AC67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4" spans="1:29" x14ac:dyDescent="0.25">
      <c r="A674" t="s">
        <v>1426</v>
      </c>
      <c r="B674" t="s">
        <v>1025</v>
      </c>
      <c r="C674" t="s">
        <v>1282</v>
      </c>
      <c r="D674" t="s">
        <v>652</v>
      </c>
      <c r="E674" t="s">
        <v>653</v>
      </c>
      <c r="F674" t="s">
        <v>569</v>
      </c>
      <c r="G674" t="s">
        <v>569</v>
      </c>
      <c r="H674" t="s">
        <v>569</v>
      </c>
      <c r="I674" t="s">
        <v>569</v>
      </c>
      <c r="J674" t="s">
        <v>569</v>
      </c>
      <c r="K674" t="s">
        <v>569</v>
      </c>
      <c r="L674" t="s">
        <v>569</v>
      </c>
      <c r="M674" t="s">
        <v>569</v>
      </c>
      <c r="N674" t="s">
        <v>569</v>
      </c>
      <c r="O674" t="s">
        <v>569</v>
      </c>
      <c r="P674" t="s">
        <v>569</v>
      </c>
      <c r="Q674" t="s">
        <v>569</v>
      </c>
      <c r="R674" t="s">
        <v>569</v>
      </c>
      <c r="S674" t="s">
        <v>569</v>
      </c>
      <c r="T674" t="s">
        <v>569</v>
      </c>
      <c r="U674" t="s">
        <v>569</v>
      </c>
      <c r="V674" t="s">
        <v>569</v>
      </c>
      <c r="W674" t="s">
        <v>569</v>
      </c>
      <c r="X674" t="s">
        <v>569</v>
      </c>
      <c r="Y674" t="s">
        <v>569</v>
      </c>
      <c r="Z674" t="s">
        <v>569</v>
      </c>
      <c r="AA674" t="s">
        <v>569</v>
      </c>
      <c r="AB674">
        <v>50</v>
      </c>
      <c r="AC67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5" spans="1:29" x14ac:dyDescent="0.25">
      <c r="A675" t="s">
        <v>695</v>
      </c>
      <c r="B675" t="s">
        <v>675</v>
      </c>
      <c r="C675" t="s">
        <v>677</v>
      </c>
      <c r="D675" t="s">
        <v>522</v>
      </c>
      <c r="E675" t="s">
        <v>523</v>
      </c>
      <c r="F675" t="s">
        <v>569</v>
      </c>
      <c r="G675" t="s">
        <v>569</v>
      </c>
      <c r="H675" t="s">
        <v>569</v>
      </c>
      <c r="I675" t="s">
        <v>569</v>
      </c>
      <c r="J675" t="s">
        <v>569</v>
      </c>
      <c r="K675">
        <v>0</v>
      </c>
      <c r="L675" t="s">
        <v>569</v>
      </c>
      <c r="M675" t="s">
        <v>569</v>
      </c>
      <c r="N675" t="s">
        <v>569</v>
      </c>
      <c r="O675" t="s">
        <v>569</v>
      </c>
      <c r="P675" t="s">
        <v>569</v>
      </c>
      <c r="Q675" t="s">
        <v>569</v>
      </c>
      <c r="R675">
        <v>-31.465421620000001</v>
      </c>
      <c r="S675" t="s">
        <v>1111</v>
      </c>
      <c r="T675">
        <v>152.93406490000001</v>
      </c>
      <c r="U675" t="s">
        <v>1201</v>
      </c>
      <c r="V675" t="s">
        <v>569</v>
      </c>
      <c r="W675" t="s">
        <v>569</v>
      </c>
      <c r="X675" t="s">
        <v>569</v>
      </c>
      <c r="Y675" t="s">
        <v>569</v>
      </c>
      <c r="Z675" s="9">
        <v>0</v>
      </c>
      <c r="AA675" t="s">
        <v>1229</v>
      </c>
      <c r="AB675">
        <v>50</v>
      </c>
      <c r="AC67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6" spans="1:29" x14ac:dyDescent="0.25">
      <c r="A676" t="s">
        <v>804</v>
      </c>
      <c r="B676" t="s">
        <v>794</v>
      </c>
      <c r="C676" t="s">
        <v>794</v>
      </c>
      <c r="D676" t="s">
        <v>795</v>
      </c>
      <c r="E676" t="s">
        <v>796</v>
      </c>
      <c r="F676" t="s">
        <v>569</v>
      </c>
      <c r="G676" t="s">
        <v>569</v>
      </c>
      <c r="H676" t="s">
        <v>569</v>
      </c>
      <c r="I676" t="s">
        <v>569</v>
      </c>
      <c r="J676" t="s">
        <v>569</v>
      </c>
      <c r="K676">
        <v>0</v>
      </c>
      <c r="L676" t="s">
        <v>569</v>
      </c>
      <c r="M676" t="s">
        <v>569</v>
      </c>
      <c r="N676" t="s">
        <v>569</v>
      </c>
      <c r="O676" t="s">
        <v>569</v>
      </c>
      <c r="P676" t="s">
        <v>569</v>
      </c>
      <c r="Q676" t="s">
        <v>569</v>
      </c>
      <c r="R676">
        <v>10.77932212</v>
      </c>
      <c r="S676" t="s">
        <v>1213</v>
      </c>
      <c r="T676">
        <v>106.6923738</v>
      </c>
      <c r="U676" t="s">
        <v>1201</v>
      </c>
      <c r="V676" t="s">
        <v>569</v>
      </c>
      <c r="W676" t="s">
        <v>569</v>
      </c>
      <c r="X676" t="s">
        <v>569</v>
      </c>
      <c r="Y676" t="s">
        <v>569</v>
      </c>
      <c r="Z676" t="s">
        <v>569</v>
      </c>
      <c r="AA676" t="s">
        <v>1229</v>
      </c>
      <c r="AB676">
        <v>50</v>
      </c>
      <c r="AC67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7" spans="1:29" x14ac:dyDescent="0.25">
      <c r="A677" t="s">
        <v>792</v>
      </c>
      <c r="B677" t="s">
        <v>784</v>
      </c>
      <c r="C677" t="s">
        <v>784</v>
      </c>
      <c r="D677" t="s">
        <v>777</v>
      </c>
      <c r="E677" t="s">
        <v>778</v>
      </c>
      <c r="F677" t="s">
        <v>569</v>
      </c>
      <c r="G677" t="s">
        <v>569</v>
      </c>
      <c r="H677" t="s">
        <v>569</v>
      </c>
      <c r="I677" t="s">
        <v>569</v>
      </c>
      <c r="J677" t="s">
        <v>569</v>
      </c>
      <c r="K677">
        <v>0</v>
      </c>
      <c r="L677" t="s">
        <v>569</v>
      </c>
      <c r="M677" t="s">
        <v>569</v>
      </c>
      <c r="N677" t="s">
        <v>569</v>
      </c>
      <c r="O677" t="s">
        <v>569</v>
      </c>
      <c r="P677" t="s">
        <v>569</v>
      </c>
      <c r="Q677" t="s">
        <v>569</v>
      </c>
      <c r="R677">
        <v>13.744054029999999</v>
      </c>
      <c r="S677" t="s">
        <v>1213</v>
      </c>
      <c r="T677">
        <v>100.4886389</v>
      </c>
      <c r="U677" t="s">
        <v>1201</v>
      </c>
      <c r="V677" t="s">
        <v>569</v>
      </c>
      <c r="W677" t="s">
        <v>569</v>
      </c>
      <c r="X677" t="s">
        <v>569</v>
      </c>
      <c r="Y677" t="s">
        <v>569</v>
      </c>
      <c r="Z677" t="s">
        <v>569</v>
      </c>
      <c r="AA677" t="s">
        <v>1229</v>
      </c>
      <c r="AB677">
        <v>50</v>
      </c>
      <c r="AC67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8" spans="1:29" x14ac:dyDescent="0.25">
      <c r="A678" t="s">
        <v>771</v>
      </c>
      <c r="B678" t="s">
        <v>764</v>
      </c>
      <c r="C678" t="s">
        <v>764</v>
      </c>
      <c r="D678" t="s">
        <v>756</v>
      </c>
      <c r="E678" t="s">
        <v>757</v>
      </c>
      <c r="F678" t="s">
        <v>569</v>
      </c>
      <c r="G678" t="s">
        <v>569</v>
      </c>
      <c r="H678" t="s">
        <v>569</v>
      </c>
      <c r="I678" t="s">
        <v>569</v>
      </c>
      <c r="J678" t="s">
        <v>569</v>
      </c>
      <c r="K678">
        <v>0</v>
      </c>
      <c r="L678" t="s">
        <v>569</v>
      </c>
      <c r="M678" t="s">
        <v>569</v>
      </c>
      <c r="N678" t="s">
        <v>569</v>
      </c>
      <c r="O678" t="s">
        <v>569</v>
      </c>
      <c r="P678" t="s">
        <v>569</v>
      </c>
      <c r="Q678" t="s">
        <v>569</v>
      </c>
      <c r="R678">
        <v>11.576013400000001</v>
      </c>
      <c r="S678" t="s">
        <v>1213</v>
      </c>
      <c r="T678">
        <v>104.92311359999999</v>
      </c>
      <c r="U678" t="s">
        <v>1201</v>
      </c>
      <c r="V678" t="s">
        <v>569</v>
      </c>
      <c r="W678" t="s">
        <v>569</v>
      </c>
      <c r="X678" t="s">
        <v>569</v>
      </c>
      <c r="Y678" t="s">
        <v>569</v>
      </c>
      <c r="Z678" t="s">
        <v>569</v>
      </c>
      <c r="AA678" t="s">
        <v>1229</v>
      </c>
      <c r="AB678">
        <v>50</v>
      </c>
      <c r="AC67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79" spans="1:29" x14ac:dyDescent="0.25">
      <c r="A679" t="s">
        <v>793</v>
      </c>
      <c r="B679" t="s">
        <v>784</v>
      </c>
      <c r="C679" t="s">
        <v>784</v>
      </c>
      <c r="D679" t="s">
        <v>777</v>
      </c>
      <c r="E679" t="s">
        <v>778</v>
      </c>
      <c r="F679" t="s">
        <v>569</v>
      </c>
      <c r="G679" t="s">
        <v>569</v>
      </c>
      <c r="H679" t="s">
        <v>569</v>
      </c>
      <c r="I679" t="s">
        <v>569</v>
      </c>
      <c r="J679" t="s">
        <v>569</v>
      </c>
      <c r="K679" t="s">
        <v>569</v>
      </c>
      <c r="L679" t="s">
        <v>569</v>
      </c>
      <c r="M679" t="s">
        <v>569</v>
      </c>
      <c r="N679" t="s">
        <v>569</v>
      </c>
      <c r="O679" t="s">
        <v>569</v>
      </c>
      <c r="P679" t="s">
        <v>569</v>
      </c>
      <c r="Q679" t="s">
        <v>569</v>
      </c>
      <c r="R679">
        <v>13.74676389</v>
      </c>
      <c r="S679" t="s">
        <v>1213</v>
      </c>
      <c r="T679">
        <v>100.4932306</v>
      </c>
      <c r="U679" t="s">
        <v>1201</v>
      </c>
      <c r="V679" t="s">
        <v>569</v>
      </c>
      <c r="W679" t="s">
        <v>569</v>
      </c>
      <c r="X679" t="s">
        <v>569</v>
      </c>
      <c r="Y679" t="s">
        <v>569</v>
      </c>
      <c r="Z679" t="s">
        <v>569</v>
      </c>
      <c r="AA679" t="s">
        <v>1230</v>
      </c>
      <c r="AB679">
        <v>50</v>
      </c>
      <c r="AC67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0" spans="1:29" x14ac:dyDescent="0.25">
      <c r="A680" t="s">
        <v>673</v>
      </c>
      <c r="B680" t="s">
        <v>672</v>
      </c>
      <c r="C680" t="s">
        <v>504</v>
      </c>
      <c r="D680" t="s">
        <v>501</v>
      </c>
      <c r="E680" t="s">
        <v>502</v>
      </c>
      <c r="F680" t="s">
        <v>569</v>
      </c>
      <c r="G680" t="s">
        <v>569</v>
      </c>
      <c r="H680" t="s">
        <v>569</v>
      </c>
      <c r="I680" t="s">
        <v>569</v>
      </c>
      <c r="J680" t="s">
        <v>569</v>
      </c>
      <c r="K680">
        <v>0</v>
      </c>
      <c r="L680" t="s">
        <v>569</v>
      </c>
      <c r="M680" t="s">
        <v>569</v>
      </c>
      <c r="N680" t="s">
        <v>569</v>
      </c>
      <c r="O680" t="s">
        <v>569</v>
      </c>
      <c r="P680" t="s">
        <v>569</v>
      </c>
      <c r="Q680" t="s">
        <v>569</v>
      </c>
      <c r="R680">
        <v>49.890680879999998</v>
      </c>
      <c r="S680" t="s">
        <v>1213</v>
      </c>
      <c r="T680">
        <v>-119.4982696</v>
      </c>
      <c r="U680" t="s">
        <v>1206</v>
      </c>
      <c r="V680" t="s">
        <v>569</v>
      </c>
      <c r="W680" t="s">
        <v>569</v>
      </c>
      <c r="X680" t="s">
        <v>569</v>
      </c>
      <c r="Y680" t="s">
        <v>569</v>
      </c>
      <c r="Z680" s="9">
        <v>0</v>
      </c>
      <c r="AA680" t="s">
        <v>1229</v>
      </c>
      <c r="AB680">
        <v>50</v>
      </c>
      <c r="AC68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1" spans="1:29" x14ac:dyDescent="0.25">
      <c r="A681" t="s">
        <v>884</v>
      </c>
      <c r="B681" t="s">
        <v>533</v>
      </c>
      <c r="C681" t="s">
        <v>504</v>
      </c>
      <c r="D681" t="s">
        <v>501</v>
      </c>
      <c r="E681" t="s">
        <v>502</v>
      </c>
      <c r="F681" t="s">
        <v>569</v>
      </c>
      <c r="G681" t="s">
        <v>569</v>
      </c>
      <c r="H681" t="s">
        <v>569</v>
      </c>
      <c r="I681" t="s">
        <v>569</v>
      </c>
      <c r="J681" t="s">
        <v>569</v>
      </c>
      <c r="K681">
        <v>0</v>
      </c>
      <c r="L681" t="s">
        <v>569</v>
      </c>
      <c r="M681" t="s">
        <v>569</v>
      </c>
      <c r="N681" t="s">
        <v>569</v>
      </c>
      <c r="O681" t="s">
        <v>569</v>
      </c>
      <c r="P681" t="s">
        <v>569</v>
      </c>
      <c r="Q681" t="s">
        <v>569</v>
      </c>
      <c r="R681">
        <v>48.38146974</v>
      </c>
      <c r="S681" t="s">
        <v>1213</v>
      </c>
      <c r="T681">
        <v>-123.687821</v>
      </c>
      <c r="U681" t="s">
        <v>1206</v>
      </c>
      <c r="V681" t="s">
        <v>569</v>
      </c>
      <c r="W681" t="s">
        <v>569</v>
      </c>
      <c r="X681" t="s">
        <v>569</v>
      </c>
      <c r="Y681" t="s">
        <v>569</v>
      </c>
      <c r="Z681" t="s">
        <v>569</v>
      </c>
      <c r="AA681" t="s">
        <v>1229</v>
      </c>
      <c r="AB681">
        <v>50</v>
      </c>
      <c r="AC68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2" spans="1:29" x14ac:dyDescent="0.25">
      <c r="A682" t="s">
        <v>762</v>
      </c>
      <c r="B682" t="s">
        <v>505</v>
      </c>
      <c r="C682" t="s">
        <v>504</v>
      </c>
      <c r="D682" t="s">
        <v>501</v>
      </c>
      <c r="E682" t="s">
        <v>502</v>
      </c>
      <c r="F682" t="s">
        <v>569</v>
      </c>
      <c r="G682" t="s">
        <v>569</v>
      </c>
      <c r="H682" t="s">
        <v>569</v>
      </c>
      <c r="I682" t="s">
        <v>569</v>
      </c>
      <c r="J682" t="s">
        <v>569</v>
      </c>
      <c r="K682">
        <v>0</v>
      </c>
      <c r="L682" t="s">
        <v>569</v>
      </c>
      <c r="M682" t="s">
        <v>569</v>
      </c>
      <c r="N682" t="s">
        <v>569</v>
      </c>
      <c r="O682" t="s">
        <v>569</v>
      </c>
      <c r="P682" t="s">
        <v>569</v>
      </c>
      <c r="Q682" t="s">
        <v>569</v>
      </c>
      <c r="R682">
        <v>48.445457900000001</v>
      </c>
      <c r="S682" t="s">
        <v>1213</v>
      </c>
      <c r="T682">
        <v>-123.4659004</v>
      </c>
      <c r="U682" t="s">
        <v>1206</v>
      </c>
      <c r="V682" t="s">
        <v>569</v>
      </c>
      <c r="W682" t="s">
        <v>569</v>
      </c>
      <c r="X682" t="s">
        <v>569</v>
      </c>
      <c r="Y682" t="s">
        <v>569</v>
      </c>
      <c r="Z682" t="s">
        <v>569</v>
      </c>
      <c r="AA682" t="s">
        <v>1229</v>
      </c>
      <c r="AB682">
        <v>50</v>
      </c>
      <c r="AC68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3" spans="1:29" x14ac:dyDescent="0.25">
      <c r="A683" t="s">
        <v>604</v>
      </c>
      <c r="B683" t="s">
        <v>505</v>
      </c>
      <c r="C683" t="s">
        <v>504</v>
      </c>
      <c r="D683" t="s">
        <v>501</v>
      </c>
      <c r="E683" t="s">
        <v>502</v>
      </c>
      <c r="F683" t="s">
        <v>569</v>
      </c>
      <c r="G683" t="s">
        <v>569</v>
      </c>
      <c r="H683" t="s">
        <v>569</v>
      </c>
      <c r="I683" t="s">
        <v>569</v>
      </c>
      <c r="J683" t="s">
        <v>569</v>
      </c>
      <c r="K683">
        <v>0</v>
      </c>
      <c r="L683" t="s">
        <v>569</v>
      </c>
      <c r="M683" t="s">
        <v>569</v>
      </c>
      <c r="N683" t="s">
        <v>569</v>
      </c>
      <c r="O683" t="s">
        <v>569</v>
      </c>
      <c r="P683" t="s">
        <v>569</v>
      </c>
      <c r="Q683" t="s">
        <v>569</v>
      </c>
      <c r="R683">
        <v>48.474045099999998</v>
      </c>
      <c r="S683" t="s">
        <v>1213</v>
      </c>
      <c r="T683">
        <v>-123.49947090000001</v>
      </c>
      <c r="U683" t="s">
        <v>1206</v>
      </c>
      <c r="V683" t="s">
        <v>569</v>
      </c>
      <c r="W683" t="s">
        <v>569</v>
      </c>
      <c r="X683" t="s">
        <v>569</v>
      </c>
      <c r="Y683" t="s">
        <v>569</v>
      </c>
      <c r="Z683" t="s">
        <v>569</v>
      </c>
      <c r="AA683" t="s">
        <v>1229</v>
      </c>
      <c r="AB683">
        <v>50</v>
      </c>
      <c r="AC68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4" spans="1:29" x14ac:dyDescent="0.25">
      <c r="A684" t="s">
        <v>1379</v>
      </c>
      <c r="B684" t="s">
        <v>557</v>
      </c>
      <c r="C684" t="s">
        <v>504</v>
      </c>
      <c r="D684" t="s">
        <v>501</v>
      </c>
      <c r="E684" t="s">
        <v>502</v>
      </c>
      <c r="F684" t="s">
        <v>569</v>
      </c>
      <c r="G684" t="s">
        <v>569</v>
      </c>
      <c r="H684" t="s">
        <v>569</v>
      </c>
      <c r="I684" t="s">
        <v>569</v>
      </c>
      <c r="J684" t="s">
        <v>569</v>
      </c>
      <c r="K684" t="s">
        <v>569</v>
      </c>
      <c r="L684" t="s">
        <v>569</v>
      </c>
      <c r="M684" t="s">
        <v>569</v>
      </c>
      <c r="N684" t="s">
        <v>569</v>
      </c>
      <c r="O684" t="s">
        <v>569</v>
      </c>
      <c r="P684" t="s">
        <v>569</v>
      </c>
      <c r="Q684" t="s">
        <v>569</v>
      </c>
      <c r="R684" t="s">
        <v>569</v>
      </c>
      <c r="S684" t="s">
        <v>569</v>
      </c>
      <c r="T684" t="s">
        <v>569</v>
      </c>
      <c r="U684" t="s">
        <v>569</v>
      </c>
      <c r="V684" t="s">
        <v>569</v>
      </c>
      <c r="W684" t="s">
        <v>569</v>
      </c>
      <c r="X684" t="s">
        <v>569</v>
      </c>
      <c r="Y684" t="s">
        <v>569</v>
      </c>
      <c r="Z684" t="s">
        <v>569</v>
      </c>
      <c r="AA684" t="s">
        <v>569</v>
      </c>
      <c r="AB684">
        <v>50</v>
      </c>
      <c r="AC684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5" spans="1:29" x14ac:dyDescent="0.25">
      <c r="A685" t="s">
        <v>854</v>
      </c>
      <c r="B685" t="s">
        <v>533</v>
      </c>
      <c r="C685" t="s">
        <v>504</v>
      </c>
      <c r="D685" t="s">
        <v>501</v>
      </c>
      <c r="E685" t="s">
        <v>502</v>
      </c>
      <c r="F685" t="s">
        <v>569</v>
      </c>
      <c r="G685" t="s">
        <v>569</v>
      </c>
      <c r="H685" t="s">
        <v>569</v>
      </c>
      <c r="I685" t="s">
        <v>569</v>
      </c>
      <c r="J685" t="s">
        <v>569</v>
      </c>
      <c r="K685">
        <v>0</v>
      </c>
      <c r="L685" t="s">
        <v>569</v>
      </c>
      <c r="M685" t="s">
        <v>569</v>
      </c>
      <c r="N685" t="s">
        <v>569</v>
      </c>
      <c r="O685" t="s">
        <v>569</v>
      </c>
      <c r="P685" t="s">
        <v>569</v>
      </c>
      <c r="Q685" t="s">
        <v>569</v>
      </c>
      <c r="R685">
        <v>48.356733820000002</v>
      </c>
      <c r="S685" t="s">
        <v>1213</v>
      </c>
      <c r="T685">
        <v>-123.7218046</v>
      </c>
      <c r="U685" t="s">
        <v>1206</v>
      </c>
      <c r="V685" t="s">
        <v>569</v>
      </c>
      <c r="W685" t="s">
        <v>569</v>
      </c>
      <c r="X685" t="s">
        <v>569</v>
      </c>
      <c r="Y685" t="s">
        <v>569</v>
      </c>
      <c r="Z685" t="s">
        <v>569</v>
      </c>
      <c r="AA685" t="s">
        <v>1229</v>
      </c>
      <c r="AB685">
        <v>50</v>
      </c>
      <c r="AC68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6" spans="1:29" x14ac:dyDescent="0.25">
      <c r="A686" t="s">
        <v>1246</v>
      </c>
      <c r="B686" t="s">
        <v>1005</v>
      </c>
      <c r="C686" t="s">
        <v>1235</v>
      </c>
      <c r="D686" t="s">
        <v>1006</v>
      </c>
      <c r="E686" t="s">
        <v>1236</v>
      </c>
      <c r="F686" t="s">
        <v>569</v>
      </c>
      <c r="G686" t="s">
        <v>569</v>
      </c>
      <c r="H686" t="s">
        <v>569</v>
      </c>
      <c r="I686" t="s">
        <v>569</v>
      </c>
      <c r="J686" t="s">
        <v>569</v>
      </c>
      <c r="K686" t="s">
        <v>569</v>
      </c>
      <c r="L686" t="s">
        <v>569</v>
      </c>
      <c r="M686" t="s">
        <v>569</v>
      </c>
      <c r="N686" t="s">
        <v>569</v>
      </c>
      <c r="O686" t="s">
        <v>569</v>
      </c>
      <c r="P686" t="s">
        <v>569</v>
      </c>
      <c r="Q686" t="s">
        <v>569</v>
      </c>
      <c r="R686">
        <v>51.439599999999999</v>
      </c>
      <c r="S686" t="s">
        <v>1213</v>
      </c>
      <c r="T686">
        <v>-0.20864497100000001</v>
      </c>
      <c r="U686" t="s">
        <v>1206</v>
      </c>
      <c r="V686" t="s">
        <v>569</v>
      </c>
      <c r="W686" t="s">
        <v>569</v>
      </c>
      <c r="X686" t="s">
        <v>569</v>
      </c>
      <c r="Y686" t="s">
        <v>569</v>
      </c>
      <c r="Z686" t="s">
        <v>569</v>
      </c>
      <c r="AA686" t="s">
        <v>1230</v>
      </c>
      <c r="AB686">
        <v>50</v>
      </c>
      <c r="AC68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7" spans="1:29" x14ac:dyDescent="0.25">
      <c r="A687" t="s">
        <v>1353</v>
      </c>
      <c r="B687" t="s">
        <v>5</v>
      </c>
      <c r="C687" t="s">
        <v>504</v>
      </c>
      <c r="D687" t="s">
        <v>501</v>
      </c>
      <c r="E687" t="s">
        <v>502</v>
      </c>
      <c r="F687" t="s">
        <v>569</v>
      </c>
      <c r="G687" t="s">
        <v>569</v>
      </c>
      <c r="H687" t="s">
        <v>569</v>
      </c>
      <c r="I687" t="s">
        <v>569</v>
      </c>
      <c r="J687" t="s">
        <v>569</v>
      </c>
      <c r="K687" t="s">
        <v>569</v>
      </c>
      <c r="L687" t="s">
        <v>569</v>
      </c>
      <c r="M687" t="s">
        <v>569</v>
      </c>
      <c r="N687" t="s">
        <v>569</v>
      </c>
      <c r="O687" t="s">
        <v>569</v>
      </c>
      <c r="P687" t="s">
        <v>569</v>
      </c>
      <c r="Q687" t="s">
        <v>569</v>
      </c>
      <c r="R687" t="s">
        <v>569</v>
      </c>
      <c r="S687" t="s">
        <v>569</v>
      </c>
      <c r="T687" t="s">
        <v>569</v>
      </c>
      <c r="U687" t="s">
        <v>569</v>
      </c>
      <c r="V687" t="s">
        <v>569</v>
      </c>
      <c r="W687" t="s">
        <v>569</v>
      </c>
      <c r="X687" t="s">
        <v>569</v>
      </c>
      <c r="Y687" t="s">
        <v>569</v>
      </c>
      <c r="Z687" t="s">
        <v>569</v>
      </c>
      <c r="AA687" t="s">
        <v>569</v>
      </c>
      <c r="AB687">
        <v>50</v>
      </c>
      <c r="AC687" s="11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8" spans="1:29" x14ac:dyDescent="0.25">
      <c r="A688" t="s">
        <v>700</v>
      </c>
      <c r="B688" t="s">
        <v>696</v>
      </c>
      <c r="C688" t="s">
        <v>677</v>
      </c>
      <c r="D688" t="s">
        <v>522</v>
      </c>
      <c r="E688" t="s">
        <v>523</v>
      </c>
      <c r="F688" t="s">
        <v>569</v>
      </c>
      <c r="G688" t="s">
        <v>569</v>
      </c>
      <c r="H688" t="s">
        <v>569</v>
      </c>
      <c r="I688" t="s">
        <v>569</v>
      </c>
      <c r="J688" t="s">
        <v>569</v>
      </c>
      <c r="K688">
        <v>0</v>
      </c>
      <c r="L688" t="s">
        <v>569</v>
      </c>
      <c r="M688" t="s">
        <v>569</v>
      </c>
      <c r="N688" t="s">
        <v>569</v>
      </c>
      <c r="O688" t="s">
        <v>569</v>
      </c>
      <c r="P688" t="s">
        <v>569</v>
      </c>
      <c r="Q688" t="s">
        <v>569</v>
      </c>
      <c r="R688">
        <v>-33.869578179999998</v>
      </c>
      <c r="S688" t="s">
        <v>1111</v>
      </c>
      <c r="T688">
        <v>151.20156710000001</v>
      </c>
      <c r="U688" t="s">
        <v>1201</v>
      </c>
      <c r="V688" t="s">
        <v>569</v>
      </c>
      <c r="W688" t="s">
        <v>569</v>
      </c>
      <c r="X688" t="s">
        <v>569</v>
      </c>
      <c r="Y688" t="s">
        <v>569</v>
      </c>
      <c r="Z688" s="9">
        <v>0</v>
      </c>
      <c r="AA688" t="s">
        <v>1229</v>
      </c>
      <c r="AB688">
        <v>50</v>
      </c>
      <c r="AC68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89" spans="1:29" x14ac:dyDescent="0.25">
      <c r="A689" t="s">
        <v>953</v>
      </c>
      <c r="B689" t="s">
        <v>951</v>
      </c>
      <c r="C689" t="s">
        <v>707</v>
      </c>
      <c r="D689" t="s">
        <v>522</v>
      </c>
      <c r="E689" t="s">
        <v>523</v>
      </c>
      <c r="F689" t="s">
        <v>569</v>
      </c>
      <c r="G689" t="s">
        <v>569</v>
      </c>
      <c r="H689" t="s">
        <v>569</v>
      </c>
      <c r="I689" t="s">
        <v>569</v>
      </c>
      <c r="J689" t="s">
        <v>569</v>
      </c>
      <c r="K689">
        <v>0</v>
      </c>
      <c r="L689" t="s">
        <v>569</v>
      </c>
      <c r="M689" t="s">
        <v>569</v>
      </c>
      <c r="N689" t="s">
        <v>569</v>
      </c>
      <c r="O689" t="s">
        <v>569</v>
      </c>
      <c r="P689" t="s">
        <v>569</v>
      </c>
      <c r="Q689" t="s">
        <v>569</v>
      </c>
      <c r="R689">
        <v>-16.52602332</v>
      </c>
      <c r="S689" t="s">
        <v>1111</v>
      </c>
      <c r="T689">
        <v>145.46355209999999</v>
      </c>
      <c r="U689" t="s">
        <v>1201</v>
      </c>
      <c r="V689" t="s">
        <v>569</v>
      </c>
      <c r="W689" t="s">
        <v>569</v>
      </c>
      <c r="X689" t="s">
        <v>569</v>
      </c>
      <c r="Y689" t="s">
        <v>569</v>
      </c>
      <c r="Z689" t="s">
        <v>569</v>
      </c>
      <c r="AA689" t="s">
        <v>1229</v>
      </c>
      <c r="AB689">
        <v>50</v>
      </c>
      <c r="AC689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0" spans="1:29" x14ac:dyDescent="0.25">
      <c r="A690" t="s">
        <v>561</v>
      </c>
      <c r="B690" t="s">
        <v>557</v>
      </c>
      <c r="C690" t="s">
        <v>504</v>
      </c>
      <c r="D690" t="s">
        <v>501</v>
      </c>
      <c r="E690" t="s">
        <v>502</v>
      </c>
      <c r="F690" t="s">
        <v>569</v>
      </c>
      <c r="G690" t="s">
        <v>569</v>
      </c>
      <c r="H690" t="s">
        <v>569</v>
      </c>
      <c r="I690" t="s">
        <v>569</v>
      </c>
      <c r="J690" t="s">
        <v>569</v>
      </c>
      <c r="K690">
        <v>0</v>
      </c>
      <c r="L690" t="s">
        <v>569</v>
      </c>
      <c r="M690" t="s">
        <v>569</v>
      </c>
      <c r="N690" t="s">
        <v>569</v>
      </c>
      <c r="O690" t="s">
        <v>569</v>
      </c>
      <c r="P690" t="s">
        <v>569</v>
      </c>
      <c r="Q690" t="s">
        <v>569</v>
      </c>
      <c r="R690">
        <v>49.846207399999997</v>
      </c>
      <c r="S690" t="s">
        <v>1213</v>
      </c>
      <c r="T690">
        <v>-124.5291924</v>
      </c>
      <c r="U690" t="s">
        <v>1206</v>
      </c>
      <c r="V690" t="s">
        <v>569</v>
      </c>
      <c r="W690" t="s">
        <v>569</v>
      </c>
      <c r="X690" t="s">
        <v>569</v>
      </c>
      <c r="Y690" t="s">
        <v>569</v>
      </c>
      <c r="Z690" t="s">
        <v>569</v>
      </c>
      <c r="AA690" t="s">
        <v>1229</v>
      </c>
      <c r="AB690">
        <v>50</v>
      </c>
      <c r="AC690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1" spans="1:29" x14ac:dyDescent="0.25">
      <c r="A691" t="s">
        <v>606</v>
      </c>
      <c r="B691" t="s">
        <v>505</v>
      </c>
      <c r="C691" t="s">
        <v>504</v>
      </c>
      <c r="D691" t="s">
        <v>501</v>
      </c>
      <c r="E691" t="s">
        <v>502</v>
      </c>
      <c r="F691" t="s">
        <v>569</v>
      </c>
      <c r="G691" t="s">
        <v>569</v>
      </c>
      <c r="H691" t="s">
        <v>569</v>
      </c>
      <c r="I691" t="s">
        <v>569</v>
      </c>
      <c r="J691" t="s">
        <v>569</v>
      </c>
      <c r="K691">
        <v>0</v>
      </c>
      <c r="L691" t="s">
        <v>569</v>
      </c>
      <c r="M691" t="s">
        <v>569</v>
      </c>
      <c r="N691" t="s">
        <v>569</v>
      </c>
      <c r="O691" t="s">
        <v>569</v>
      </c>
      <c r="P691" t="s">
        <v>569</v>
      </c>
      <c r="Q691" t="s">
        <v>569</v>
      </c>
      <c r="R691">
        <v>48.433664010000001</v>
      </c>
      <c r="S691" t="s">
        <v>1213</v>
      </c>
      <c r="T691">
        <v>-123.30376630000001</v>
      </c>
      <c r="U691" t="s">
        <v>1206</v>
      </c>
      <c r="V691" t="s">
        <v>569</v>
      </c>
      <c r="W691" t="s">
        <v>569</v>
      </c>
      <c r="X691" t="s">
        <v>569</v>
      </c>
      <c r="Y691" t="s">
        <v>569</v>
      </c>
      <c r="Z691" t="s">
        <v>569</v>
      </c>
      <c r="AA691" t="s">
        <v>1229</v>
      </c>
      <c r="AB691">
        <v>50</v>
      </c>
      <c r="AC691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2" spans="1:29" x14ac:dyDescent="0.25">
      <c r="A692" t="s">
        <v>571</v>
      </c>
      <c r="B692" t="s">
        <v>505</v>
      </c>
      <c r="C692" t="s">
        <v>504</v>
      </c>
      <c r="D692" t="s">
        <v>501</v>
      </c>
      <c r="E692" t="s">
        <v>502</v>
      </c>
      <c r="F692" t="s">
        <v>569</v>
      </c>
      <c r="G692" t="s">
        <v>569</v>
      </c>
      <c r="H692" t="s">
        <v>569</v>
      </c>
      <c r="I692" t="s">
        <v>569</v>
      </c>
      <c r="J692" t="s">
        <v>569</v>
      </c>
      <c r="K692">
        <v>0</v>
      </c>
      <c r="L692" t="s">
        <v>569</v>
      </c>
      <c r="M692" t="s">
        <v>569</v>
      </c>
      <c r="N692" t="s">
        <v>569</v>
      </c>
      <c r="O692" t="s">
        <v>569</v>
      </c>
      <c r="P692" t="s">
        <v>569</v>
      </c>
      <c r="Q692" t="s">
        <v>569</v>
      </c>
      <c r="R692">
        <v>48.386411209999999</v>
      </c>
      <c r="S692" t="s">
        <v>1213</v>
      </c>
      <c r="T692">
        <v>-123.51139070000001</v>
      </c>
      <c r="U692" t="s">
        <v>1206</v>
      </c>
      <c r="V692" t="s">
        <v>569</v>
      </c>
      <c r="W692" t="s">
        <v>569</v>
      </c>
      <c r="X692" t="s">
        <v>569</v>
      </c>
      <c r="Y692" t="s">
        <v>569</v>
      </c>
      <c r="Z692" t="s">
        <v>569</v>
      </c>
      <c r="AA692" t="s">
        <v>1229</v>
      </c>
      <c r="AB692">
        <v>50</v>
      </c>
      <c r="AC692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3" spans="1:29" x14ac:dyDescent="0.25">
      <c r="A693" t="s">
        <v>721</v>
      </c>
      <c r="B693" t="s">
        <v>720</v>
      </c>
      <c r="C693" t="s">
        <v>525</v>
      </c>
      <c r="D693" t="s">
        <v>522</v>
      </c>
      <c r="E693" t="s">
        <v>523</v>
      </c>
      <c r="F693" t="s">
        <v>569</v>
      </c>
      <c r="G693" t="s">
        <v>569</v>
      </c>
      <c r="H693" t="s">
        <v>569</v>
      </c>
      <c r="I693" t="s">
        <v>569</v>
      </c>
      <c r="J693" t="s">
        <v>569</v>
      </c>
      <c r="K693">
        <v>0</v>
      </c>
      <c r="L693" t="s">
        <v>569</v>
      </c>
      <c r="M693" t="s">
        <v>569</v>
      </c>
      <c r="N693" t="s">
        <v>569</v>
      </c>
      <c r="O693" t="s">
        <v>569</v>
      </c>
      <c r="P693" t="s">
        <v>569</v>
      </c>
      <c r="Q693" t="s">
        <v>569</v>
      </c>
      <c r="R693">
        <v>-31.888998829999998</v>
      </c>
      <c r="S693" t="s">
        <v>1111</v>
      </c>
      <c r="T693">
        <v>115.9867591</v>
      </c>
      <c r="U693" t="s">
        <v>1201</v>
      </c>
      <c r="V693" t="s">
        <v>569</v>
      </c>
      <c r="W693" t="s">
        <v>569</v>
      </c>
      <c r="X693" t="s">
        <v>569</v>
      </c>
      <c r="Y693" t="s">
        <v>569</v>
      </c>
      <c r="Z693" s="9">
        <v>0</v>
      </c>
      <c r="AA693" t="s">
        <v>1229</v>
      </c>
      <c r="AB693">
        <v>50</v>
      </c>
      <c r="AC693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4" spans="1:29" x14ac:dyDescent="0.25">
      <c r="A694" t="s">
        <v>734</v>
      </c>
      <c r="B694" t="s">
        <v>726</v>
      </c>
      <c r="C694" t="s">
        <v>728</v>
      </c>
      <c r="D694" t="s">
        <v>652</v>
      </c>
      <c r="E694" t="s">
        <v>653</v>
      </c>
      <c r="F694" t="s">
        <v>569</v>
      </c>
      <c r="G694" t="s">
        <v>569</v>
      </c>
      <c r="H694" t="s">
        <v>569</v>
      </c>
      <c r="I694" t="s">
        <v>569</v>
      </c>
      <c r="J694" t="s">
        <v>569</v>
      </c>
      <c r="K694">
        <v>0</v>
      </c>
      <c r="L694" t="s">
        <v>569</v>
      </c>
      <c r="M694" t="s">
        <v>569</v>
      </c>
      <c r="N694" t="s">
        <v>569</v>
      </c>
      <c r="O694" t="s">
        <v>569</v>
      </c>
      <c r="P694" t="s">
        <v>569</v>
      </c>
      <c r="Q694" t="s">
        <v>569</v>
      </c>
      <c r="R694">
        <v>47.621206829999998</v>
      </c>
      <c r="S694" t="s">
        <v>1213</v>
      </c>
      <c r="T694">
        <v>-122.34950069999999</v>
      </c>
      <c r="U694" t="s">
        <v>1206</v>
      </c>
      <c r="V694" t="s">
        <v>569</v>
      </c>
      <c r="W694" t="s">
        <v>569</v>
      </c>
      <c r="X694" t="s">
        <v>569</v>
      </c>
      <c r="Y694" t="s">
        <v>569</v>
      </c>
      <c r="Z694" s="9">
        <v>0</v>
      </c>
      <c r="AA694" t="s">
        <v>1229</v>
      </c>
      <c r="AB694">
        <v>50</v>
      </c>
      <c r="AC694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5" spans="1:29" x14ac:dyDescent="0.25">
      <c r="A695" t="s">
        <v>598</v>
      </c>
      <c r="B695" t="s">
        <v>536</v>
      </c>
      <c r="C695" t="s">
        <v>504</v>
      </c>
      <c r="D695" t="s">
        <v>501</v>
      </c>
      <c r="E695" t="s">
        <v>502</v>
      </c>
      <c r="F695" t="s">
        <v>569</v>
      </c>
      <c r="G695" t="s">
        <v>569</v>
      </c>
      <c r="H695" t="s">
        <v>569</v>
      </c>
      <c r="I695" t="s">
        <v>569</v>
      </c>
      <c r="J695" t="s">
        <v>569</v>
      </c>
      <c r="K695">
        <v>0</v>
      </c>
      <c r="L695" t="s">
        <v>569</v>
      </c>
      <c r="M695" t="s">
        <v>569</v>
      </c>
      <c r="N695" t="s">
        <v>569</v>
      </c>
      <c r="O695" t="s">
        <v>569</v>
      </c>
      <c r="P695" t="s">
        <v>569</v>
      </c>
      <c r="Q695" t="s">
        <v>569</v>
      </c>
      <c r="R695">
        <v>49.30507686</v>
      </c>
      <c r="S695" t="s">
        <v>1213</v>
      </c>
      <c r="T695">
        <v>-124.4109392</v>
      </c>
      <c r="U695" t="s">
        <v>1206</v>
      </c>
      <c r="V695" t="s">
        <v>569</v>
      </c>
      <c r="W695" t="s">
        <v>569</v>
      </c>
      <c r="X695" t="s">
        <v>569</v>
      </c>
      <c r="Y695" t="s">
        <v>569</v>
      </c>
      <c r="Z695" t="s">
        <v>569</v>
      </c>
      <c r="AA695" t="s">
        <v>1229</v>
      </c>
      <c r="AB695">
        <v>50</v>
      </c>
      <c r="AC695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6" spans="1:29" x14ac:dyDescent="0.25">
      <c r="A696" t="s">
        <v>922</v>
      </c>
      <c r="B696" t="s">
        <v>916</v>
      </c>
      <c r="C696" t="s">
        <v>504</v>
      </c>
      <c r="D696" t="s">
        <v>501</v>
      </c>
      <c r="E696" t="s">
        <v>502</v>
      </c>
      <c r="F696" t="s">
        <v>569</v>
      </c>
      <c r="G696" t="s">
        <v>569</v>
      </c>
      <c r="H696" t="s">
        <v>569</v>
      </c>
      <c r="I696" t="s">
        <v>569</v>
      </c>
      <c r="J696" t="s">
        <v>569</v>
      </c>
      <c r="K696">
        <v>0</v>
      </c>
      <c r="L696" t="s">
        <v>569</v>
      </c>
      <c r="M696" t="s">
        <v>569</v>
      </c>
      <c r="N696" t="s">
        <v>569</v>
      </c>
      <c r="O696" t="s">
        <v>569</v>
      </c>
      <c r="P696" t="s">
        <v>569</v>
      </c>
      <c r="Q696" t="s">
        <v>569</v>
      </c>
      <c r="R696">
        <v>49.081670219999999</v>
      </c>
      <c r="S696" t="s">
        <v>1213</v>
      </c>
      <c r="T696">
        <v>-122.0542538</v>
      </c>
      <c r="U696" t="s">
        <v>1206</v>
      </c>
      <c r="V696" t="s">
        <v>569</v>
      </c>
      <c r="W696" t="s">
        <v>569</v>
      </c>
      <c r="X696" t="s">
        <v>569</v>
      </c>
      <c r="Y696" t="s">
        <v>569</v>
      </c>
      <c r="Z696" t="s">
        <v>569</v>
      </c>
      <c r="AA696" t="s">
        <v>1229</v>
      </c>
      <c r="AB696">
        <v>50</v>
      </c>
      <c r="AC696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7" spans="1:29" x14ac:dyDescent="0.25">
      <c r="A697" t="s">
        <v>741</v>
      </c>
      <c r="B697" t="s">
        <v>726</v>
      </c>
      <c r="C697" t="s">
        <v>728</v>
      </c>
      <c r="D697" t="s">
        <v>652</v>
      </c>
      <c r="E697" t="s">
        <v>653</v>
      </c>
      <c r="F697" t="s">
        <v>569</v>
      </c>
      <c r="G697" t="s">
        <v>569</v>
      </c>
      <c r="H697" t="s">
        <v>569</v>
      </c>
      <c r="I697" t="s">
        <v>569</v>
      </c>
      <c r="J697" t="s">
        <v>569</v>
      </c>
      <c r="K697">
        <v>0</v>
      </c>
      <c r="L697" t="s">
        <v>569</v>
      </c>
      <c r="M697" t="s">
        <v>569</v>
      </c>
      <c r="N697" t="s">
        <v>569</v>
      </c>
      <c r="O697" t="s">
        <v>569</v>
      </c>
      <c r="P697" t="s">
        <v>569</v>
      </c>
      <c r="Q697" t="s">
        <v>569</v>
      </c>
      <c r="R697">
        <v>47.604308930000002</v>
      </c>
      <c r="S697" t="s">
        <v>1213</v>
      </c>
      <c r="T697">
        <v>-122.3391781</v>
      </c>
      <c r="U697" t="s">
        <v>1206</v>
      </c>
      <c r="V697" t="s">
        <v>569</v>
      </c>
      <c r="W697" t="s">
        <v>569</v>
      </c>
      <c r="X697" t="s">
        <v>569</v>
      </c>
      <c r="Y697" t="s">
        <v>569</v>
      </c>
      <c r="Z697" s="9">
        <v>0</v>
      </c>
      <c r="AA697" t="s">
        <v>1229</v>
      </c>
      <c r="AB697">
        <v>50</v>
      </c>
      <c r="AC697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  <row r="698" spans="1:29" x14ac:dyDescent="0.25">
      <c r="A698" t="s">
        <v>1254</v>
      </c>
      <c r="B698" t="s">
        <v>1005</v>
      </c>
      <c r="C698" t="s">
        <v>1235</v>
      </c>
      <c r="D698" t="s">
        <v>1006</v>
      </c>
      <c r="E698" t="s">
        <v>1236</v>
      </c>
      <c r="F698" t="s">
        <v>569</v>
      </c>
      <c r="G698" t="s">
        <v>569</v>
      </c>
      <c r="H698" t="s">
        <v>569</v>
      </c>
      <c r="I698" t="s">
        <v>569</v>
      </c>
      <c r="J698" t="s">
        <v>569</v>
      </c>
      <c r="K698" t="s">
        <v>569</v>
      </c>
      <c r="L698" t="s">
        <v>569</v>
      </c>
      <c r="M698" t="s">
        <v>569</v>
      </c>
      <c r="N698" t="s">
        <v>569</v>
      </c>
      <c r="O698" t="s">
        <v>569</v>
      </c>
      <c r="P698" t="s">
        <v>569</v>
      </c>
      <c r="Q698" t="s">
        <v>569</v>
      </c>
      <c r="R698">
        <v>51.535130459999998</v>
      </c>
      <c r="S698" t="s">
        <v>1213</v>
      </c>
      <c r="T698">
        <v>-0.15318159200000001</v>
      </c>
      <c r="U698" t="s">
        <v>1206</v>
      </c>
      <c r="V698" t="s">
        <v>569</v>
      </c>
      <c r="W698" t="s">
        <v>569</v>
      </c>
      <c r="X698" t="s">
        <v>569</v>
      </c>
      <c r="Y698" t="s">
        <v>569</v>
      </c>
      <c r="Z698" t="s">
        <v>569</v>
      </c>
      <c r="AA698" t="s">
        <v>1230</v>
      </c>
      <c r="AB698">
        <v>50</v>
      </c>
      <c r="AC698" s="3" t="str">
        <f>IF(Index_of_Locations[[#This Row],[GPSLatitude]]="","",HYPERLINK("https://www.google.com/maps/search/"&amp;Index_of_Locations[[#This Row],[GPSLatitude]]&amp;","&amp;Index_of_Locations[[#This Row],[GPSLongitude]],"Show on Map"))</f>
        <v>Show on Map</v>
      </c>
    </row>
  </sheetData>
  <conditionalFormatting sqref="A555">
    <cfRule type="duplicateValues" dxfId="8" priority="5"/>
  </conditionalFormatting>
  <conditionalFormatting sqref="A1:A1048576">
    <cfRule type="duplicateValues" dxfId="7" priority="1"/>
    <cfRule type="duplicateValues" dxfId="6" priority="2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FFD1D-6187-4818-B981-7EA9D2DB071E}">
  <sheetPr codeName="Sheet3"/>
  <dimension ref="A1:C206"/>
  <sheetViews>
    <sheetView workbookViewId="0">
      <selection activeCell="B198" sqref="B198"/>
    </sheetView>
  </sheetViews>
  <sheetFormatPr defaultRowHeight="15" x14ac:dyDescent="0.25"/>
  <cols>
    <col min="1" max="1" width="34" customWidth="1"/>
    <col min="2" max="2" width="43" customWidth="1"/>
  </cols>
  <sheetData>
    <row r="1" spans="1:3" x14ac:dyDescent="0.25">
      <c r="A1" t="s">
        <v>1436</v>
      </c>
      <c r="B1" t="s">
        <v>1437</v>
      </c>
      <c r="C1" t="s">
        <v>1062</v>
      </c>
    </row>
    <row r="2" spans="1:3" x14ac:dyDescent="0.25">
      <c r="A2" t="s">
        <v>1122</v>
      </c>
      <c r="B2" t="s">
        <v>1122</v>
      </c>
      <c r="C2">
        <v>135</v>
      </c>
    </row>
    <row r="3" spans="1:3" x14ac:dyDescent="0.25">
      <c r="A3" t="s">
        <v>1200</v>
      </c>
      <c r="B3" t="s">
        <v>1200</v>
      </c>
      <c r="C3">
        <v>33</v>
      </c>
    </row>
    <row r="4" spans="1:3" x14ac:dyDescent="0.25">
      <c r="A4" t="s">
        <v>967</v>
      </c>
      <c r="B4" t="s">
        <v>967</v>
      </c>
      <c r="C4">
        <v>70</v>
      </c>
    </row>
    <row r="5" spans="1:3" x14ac:dyDescent="0.25">
      <c r="A5" t="s">
        <v>1084</v>
      </c>
      <c r="B5" t="s">
        <v>1440</v>
      </c>
      <c r="C5">
        <v>260</v>
      </c>
    </row>
    <row r="6" spans="1:3" x14ac:dyDescent="0.25">
      <c r="A6" t="s">
        <v>1034</v>
      </c>
      <c r="B6" t="s">
        <v>1034</v>
      </c>
      <c r="C6">
        <v>72</v>
      </c>
    </row>
    <row r="7" spans="1:3" x14ac:dyDescent="0.25">
      <c r="A7" t="s">
        <v>1047</v>
      </c>
      <c r="B7" t="s">
        <v>1047</v>
      </c>
      <c r="C7">
        <v>216</v>
      </c>
    </row>
    <row r="8" spans="1:3" x14ac:dyDescent="0.25">
      <c r="A8" t="s">
        <v>1441</v>
      </c>
      <c r="B8" t="s">
        <v>1441</v>
      </c>
    </row>
    <row r="9" spans="1:3" x14ac:dyDescent="0.25">
      <c r="A9" t="s">
        <v>1175</v>
      </c>
      <c r="B9" t="s">
        <v>1441</v>
      </c>
      <c r="C9">
        <v>65</v>
      </c>
    </row>
    <row r="10" spans="1:3" x14ac:dyDescent="0.25">
      <c r="A10" t="s">
        <v>1094</v>
      </c>
      <c r="B10" t="s">
        <v>1094</v>
      </c>
      <c r="C10">
        <v>208</v>
      </c>
    </row>
    <row r="11" spans="1:3" x14ac:dyDescent="0.25">
      <c r="A11" t="s">
        <v>1048</v>
      </c>
      <c r="B11" t="s">
        <v>1048</v>
      </c>
      <c r="C11">
        <v>274</v>
      </c>
    </row>
    <row r="12" spans="1:3" x14ac:dyDescent="0.25">
      <c r="A12" t="s">
        <v>1129</v>
      </c>
      <c r="B12" t="s">
        <v>1129</v>
      </c>
      <c r="C12">
        <v>121</v>
      </c>
    </row>
    <row r="13" spans="1:3" x14ac:dyDescent="0.25">
      <c r="A13" t="s">
        <v>1172</v>
      </c>
      <c r="B13" t="s">
        <v>1172</v>
      </c>
      <c r="C13">
        <v>66</v>
      </c>
    </row>
    <row r="14" spans="1:3" x14ac:dyDescent="0.25">
      <c r="A14" t="s">
        <v>1203</v>
      </c>
      <c r="B14" t="s">
        <v>1203</v>
      </c>
      <c r="C14">
        <v>177</v>
      </c>
    </row>
    <row r="15" spans="1:3" x14ac:dyDescent="0.25">
      <c r="A15" t="s">
        <v>1033</v>
      </c>
      <c r="B15" t="s">
        <v>1033</v>
      </c>
      <c r="C15">
        <v>1399</v>
      </c>
    </row>
    <row r="16" spans="1:3" x14ac:dyDescent="0.25">
      <c r="A16" t="s">
        <v>1176</v>
      </c>
      <c r="B16" t="s">
        <v>1442</v>
      </c>
      <c r="C16">
        <v>63</v>
      </c>
    </row>
    <row r="17" spans="1:3" x14ac:dyDescent="0.25">
      <c r="A17" t="s">
        <v>1443</v>
      </c>
      <c r="B17" t="s">
        <v>1442</v>
      </c>
    </row>
    <row r="18" spans="1:3" x14ac:dyDescent="0.25">
      <c r="A18" t="s">
        <v>1106</v>
      </c>
      <c r="B18" t="s">
        <v>1106</v>
      </c>
      <c r="C18">
        <v>152</v>
      </c>
    </row>
    <row r="19" spans="1:3" x14ac:dyDescent="0.25">
      <c r="A19" t="s">
        <v>1043</v>
      </c>
      <c r="B19" t="s">
        <v>1433</v>
      </c>
      <c r="C19">
        <v>2236</v>
      </c>
    </row>
    <row r="20" spans="1:3" x14ac:dyDescent="0.25">
      <c r="A20" t="s">
        <v>1126</v>
      </c>
      <c r="B20" t="s">
        <v>1126</v>
      </c>
      <c r="C20">
        <v>130</v>
      </c>
    </row>
    <row r="21" spans="1:3" x14ac:dyDescent="0.25">
      <c r="A21" t="s">
        <v>1039</v>
      </c>
      <c r="B21" t="s">
        <v>1039</v>
      </c>
      <c r="C21">
        <v>348</v>
      </c>
    </row>
    <row r="22" spans="1:3" x14ac:dyDescent="0.25">
      <c r="A22" t="s">
        <v>1088</v>
      </c>
      <c r="B22" t="s">
        <v>1088</v>
      </c>
      <c r="C22">
        <v>228</v>
      </c>
    </row>
    <row r="23" spans="1:3" x14ac:dyDescent="0.25">
      <c r="A23" t="s">
        <v>1093</v>
      </c>
      <c r="B23" t="s">
        <v>1444</v>
      </c>
      <c r="C23">
        <v>209</v>
      </c>
    </row>
    <row r="24" spans="1:3" x14ac:dyDescent="0.25">
      <c r="A24" t="s">
        <v>1174</v>
      </c>
      <c r="B24" t="s">
        <v>1174</v>
      </c>
      <c r="C24">
        <v>66</v>
      </c>
    </row>
    <row r="25" spans="1:3" x14ac:dyDescent="0.25">
      <c r="A25" t="s">
        <v>1105</v>
      </c>
      <c r="B25" t="s">
        <v>1105</v>
      </c>
      <c r="C25">
        <v>153</v>
      </c>
    </row>
    <row r="26" spans="1:3" x14ac:dyDescent="0.25">
      <c r="A26" t="s">
        <v>1116</v>
      </c>
      <c r="B26" t="s">
        <v>1116</v>
      </c>
      <c r="C26">
        <v>144</v>
      </c>
    </row>
    <row r="27" spans="1:3" x14ac:dyDescent="0.25">
      <c r="A27" t="s">
        <v>1137</v>
      </c>
      <c r="B27" t="s">
        <v>1137</v>
      </c>
      <c r="C27">
        <v>105</v>
      </c>
    </row>
    <row r="28" spans="1:3" x14ac:dyDescent="0.25">
      <c r="A28" t="s">
        <v>1151</v>
      </c>
      <c r="B28" t="s">
        <v>1151</v>
      </c>
      <c r="C28">
        <v>89</v>
      </c>
    </row>
    <row r="29" spans="1:3" x14ac:dyDescent="0.25">
      <c r="A29" t="s">
        <v>1055</v>
      </c>
      <c r="B29" t="s">
        <v>1055</v>
      </c>
      <c r="C29">
        <v>185</v>
      </c>
    </row>
    <row r="30" spans="1:3" x14ac:dyDescent="0.25">
      <c r="A30" t="s">
        <v>1044</v>
      </c>
      <c r="B30" t="s">
        <v>1445</v>
      </c>
      <c r="C30">
        <v>36</v>
      </c>
    </row>
    <row r="31" spans="1:3" x14ac:dyDescent="0.25">
      <c r="A31" t="s">
        <v>1439</v>
      </c>
      <c r="B31" t="s">
        <v>1067</v>
      </c>
    </row>
    <row r="32" spans="1:3" x14ac:dyDescent="0.25">
      <c r="A32" t="s">
        <v>1067</v>
      </c>
      <c r="B32" t="s">
        <v>1067</v>
      </c>
      <c r="C32">
        <v>561</v>
      </c>
    </row>
    <row r="33" spans="1:3" x14ac:dyDescent="0.25">
      <c r="A33" t="s">
        <v>1136</v>
      </c>
      <c r="B33" t="s">
        <v>1136</v>
      </c>
      <c r="C33">
        <v>108</v>
      </c>
    </row>
    <row r="34" spans="1:3" x14ac:dyDescent="0.25">
      <c r="A34" t="s">
        <v>1085</v>
      </c>
      <c r="B34" t="s">
        <v>1085</v>
      </c>
      <c r="C34">
        <v>250</v>
      </c>
    </row>
    <row r="35" spans="1:3" x14ac:dyDescent="0.25">
      <c r="A35" t="s">
        <v>1154</v>
      </c>
      <c r="B35" t="s">
        <v>1154</v>
      </c>
      <c r="C35">
        <v>83</v>
      </c>
    </row>
    <row r="36" spans="1:3" x14ac:dyDescent="0.25">
      <c r="A36" t="s">
        <v>1123</v>
      </c>
      <c r="B36" t="s">
        <v>1123</v>
      </c>
      <c r="C36">
        <v>134</v>
      </c>
    </row>
    <row r="37" spans="1:3" x14ac:dyDescent="0.25">
      <c r="A37" t="s">
        <v>1430</v>
      </c>
      <c r="B37" t="s">
        <v>1430</v>
      </c>
      <c r="C37">
        <v>543</v>
      </c>
    </row>
    <row r="38" spans="1:3" x14ac:dyDescent="0.25">
      <c r="A38" t="s">
        <v>1191</v>
      </c>
      <c r="B38" t="s">
        <v>1191</v>
      </c>
      <c r="C38">
        <v>39</v>
      </c>
    </row>
    <row r="39" spans="1:3" x14ac:dyDescent="0.25">
      <c r="A39" t="s">
        <v>1037</v>
      </c>
      <c r="B39" t="s">
        <v>1037</v>
      </c>
      <c r="C39">
        <v>95</v>
      </c>
    </row>
    <row r="40" spans="1:3" x14ac:dyDescent="0.25">
      <c r="A40" t="s">
        <v>1099</v>
      </c>
      <c r="B40" t="s">
        <v>1099</v>
      </c>
      <c r="C40">
        <v>179</v>
      </c>
    </row>
    <row r="41" spans="1:3" x14ac:dyDescent="0.25">
      <c r="A41" t="s">
        <v>1156</v>
      </c>
      <c r="B41" t="s">
        <v>1156</v>
      </c>
      <c r="C41">
        <v>83</v>
      </c>
    </row>
    <row r="42" spans="1:3" x14ac:dyDescent="0.25">
      <c r="A42" t="s">
        <v>1013</v>
      </c>
      <c r="B42" t="s">
        <v>1013</v>
      </c>
      <c r="C42">
        <v>1194</v>
      </c>
    </row>
    <row r="43" spans="1:3" x14ac:dyDescent="0.25">
      <c r="A43" t="s">
        <v>1077</v>
      </c>
      <c r="B43" t="s">
        <v>1077</v>
      </c>
    </row>
    <row r="44" spans="1:3" x14ac:dyDescent="0.25">
      <c r="A44" t="s">
        <v>1224</v>
      </c>
      <c r="B44" t="s">
        <v>1224</v>
      </c>
    </row>
    <row r="45" spans="1:3" x14ac:dyDescent="0.25">
      <c r="A45" t="s">
        <v>1035</v>
      </c>
      <c r="B45" t="s">
        <v>1035</v>
      </c>
      <c r="C45">
        <v>291</v>
      </c>
    </row>
    <row r="46" spans="1:3" x14ac:dyDescent="0.25">
      <c r="A46" t="s">
        <v>1197</v>
      </c>
      <c r="B46" t="s">
        <v>1197</v>
      </c>
      <c r="C46">
        <v>36</v>
      </c>
    </row>
    <row r="47" spans="1:3" x14ac:dyDescent="0.25">
      <c r="A47" t="s">
        <v>1149</v>
      </c>
      <c r="B47" t="s">
        <v>1149</v>
      </c>
      <c r="C47">
        <v>90</v>
      </c>
    </row>
    <row r="48" spans="1:3" x14ac:dyDescent="0.25">
      <c r="A48" t="s">
        <v>1186</v>
      </c>
      <c r="B48" t="s">
        <v>1186</v>
      </c>
      <c r="C48">
        <v>53</v>
      </c>
    </row>
    <row r="49" spans="1:3" x14ac:dyDescent="0.25">
      <c r="A49" t="s">
        <v>1442</v>
      </c>
      <c r="B49" t="s">
        <v>1442</v>
      </c>
    </row>
    <row r="50" spans="1:3" x14ac:dyDescent="0.25">
      <c r="A50" t="s">
        <v>1220</v>
      </c>
      <c r="B50" t="s">
        <v>1446</v>
      </c>
      <c r="C50">
        <v>214</v>
      </c>
    </row>
    <row r="51" spans="1:3" x14ac:dyDescent="0.25">
      <c r="A51" t="s">
        <v>1083</v>
      </c>
      <c r="B51" t="s">
        <v>1083</v>
      </c>
      <c r="C51">
        <v>263</v>
      </c>
    </row>
    <row r="52" spans="1:3" x14ac:dyDescent="0.25">
      <c r="A52" t="s">
        <v>1146</v>
      </c>
      <c r="B52" t="s">
        <v>1146</v>
      </c>
      <c r="C52">
        <v>93</v>
      </c>
    </row>
    <row r="53" spans="1:3" x14ac:dyDescent="0.25">
      <c r="A53" t="s">
        <v>1163</v>
      </c>
      <c r="B53" t="s">
        <v>1447</v>
      </c>
      <c r="C53">
        <v>74</v>
      </c>
    </row>
    <row r="54" spans="1:3" x14ac:dyDescent="0.25">
      <c r="A54" t="s">
        <v>1447</v>
      </c>
      <c r="B54" t="s">
        <v>1447</v>
      </c>
    </row>
    <row r="55" spans="1:3" x14ac:dyDescent="0.25">
      <c r="A55" t="s">
        <v>1140</v>
      </c>
      <c r="B55" t="s">
        <v>1448</v>
      </c>
      <c r="C55">
        <v>104</v>
      </c>
    </row>
    <row r="56" spans="1:3" x14ac:dyDescent="0.25">
      <c r="A56" t="s">
        <v>1196</v>
      </c>
      <c r="B56" t="s">
        <v>1450</v>
      </c>
      <c r="C56">
        <v>37</v>
      </c>
    </row>
    <row r="57" spans="1:3" x14ac:dyDescent="0.25">
      <c r="A57" t="s">
        <v>1449</v>
      </c>
      <c r="B57" t="s">
        <v>1450</v>
      </c>
    </row>
    <row r="58" spans="1:3" x14ac:dyDescent="0.25">
      <c r="A58" t="s">
        <v>1115</v>
      </c>
      <c r="B58" t="s">
        <v>1115</v>
      </c>
      <c r="C58">
        <v>146</v>
      </c>
    </row>
    <row r="59" spans="1:3" x14ac:dyDescent="0.25">
      <c r="A59" t="s">
        <v>1141</v>
      </c>
      <c r="B59" t="s">
        <v>1141</v>
      </c>
      <c r="C59">
        <v>104</v>
      </c>
    </row>
    <row r="60" spans="1:3" x14ac:dyDescent="0.25">
      <c r="A60" t="s">
        <v>1104</v>
      </c>
      <c r="B60" t="s">
        <v>1104</v>
      </c>
      <c r="C60">
        <v>154</v>
      </c>
    </row>
    <row r="61" spans="1:3" x14ac:dyDescent="0.25">
      <c r="A61" t="s">
        <v>1431</v>
      </c>
      <c r="B61" t="s">
        <v>1431</v>
      </c>
      <c r="C61">
        <v>279</v>
      </c>
    </row>
    <row r="62" spans="1:3" x14ac:dyDescent="0.25">
      <c r="A62" t="s">
        <v>1089</v>
      </c>
      <c r="B62" t="s">
        <v>1089</v>
      </c>
      <c r="C62">
        <v>228</v>
      </c>
    </row>
    <row r="63" spans="1:3" x14ac:dyDescent="0.25">
      <c r="A63" t="s">
        <v>1068</v>
      </c>
      <c r="B63" t="s">
        <v>1068</v>
      </c>
      <c r="C63">
        <v>521</v>
      </c>
    </row>
    <row r="64" spans="1:3" x14ac:dyDescent="0.25">
      <c r="A64" t="s">
        <v>1091</v>
      </c>
      <c r="B64" t="s">
        <v>1091</v>
      </c>
      <c r="C64">
        <v>217</v>
      </c>
    </row>
    <row r="65" spans="1:3" x14ac:dyDescent="0.25">
      <c r="A65" t="s">
        <v>1177</v>
      </c>
      <c r="B65" t="s">
        <v>1177</v>
      </c>
      <c r="C65">
        <v>63</v>
      </c>
    </row>
    <row r="66" spans="1:3" x14ac:dyDescent="0.25">
      <c r="A66" t="s">
        <v>556</v>
      </c>
      <c r="B66" t="s">
        <v>556</v>
      </c>
      <c r="C66">
        <v>189</v>
      </c>
    </row>
    <row r="67" spans="1:3" x14ac:dyDescent="0.25">
      <c r="A67" t="s">
        <v>1108</v>
      </c>
      <c r="B67" t="s">
        <v>1108</v>
      </c>
      <c r="C67">
        <v>151</v>
      </c>
    </row>
    <row r="68" spans="1:3" x14ac:dyDescent="0.25">
      <c r="A68" t="s">
        <v>1114</v>
      </c>
      <c r="B68" t="s">
        <v>1114</v>
      </c>
      <c r="C68">
        <v>146</v>
      </c>
    </row>
    <row r="69" spans="1:3" x14ac:dyDescent="0.25">
      <c r="A69" t="s">
        <v>1142</v>
      </c>
      <c r="B69" t="s">
        <v>1142</v>
      </c>
      <c r="C69">
        <v>104</v>
      </c>
    </row>
    <row r="70" spans="1:3" x14ac:dyDescent="0.25">
      <c r="A70" t="s">
        <v>1144</v>
      </c>
      <c r="B70" t="s">
        <v>1144</v>
      </c>
      <c r="C70">
        <v>99</v>
      </c>
    </row>
    <row r="71" spans="1:3" x14ac:dyDescent="0.25">
      <c r="A71" t="s">
        <v>1054</v>
      </c>
      <c r="B71" t="s">
        <v>1054</v>
      </c>
      <c r="C71">
        <v>86</v>
      </c>
    </row>
    <row r="72" spans="1:3" x14ac:dyDescent="0.25">
      <c r="A72" t="s">
        <v>1145</v>
      </c>
      <c r="B72" t="s">
        <v>1145</v>
      </c>
      <c r="C72">
        <v>94</v>
      </c>
    </row>
    <row r="73" spans="1:3" x14ac:dyDescent="0.25">
      <c r="A73" t="s">
        <v>1069</v>
      </c>
      <c r="B73" t="s">
        <v>1069</v>
      </c>
      <c r="C73">
        <v>466</v>
      </c>
    </row>
    <row r="74" spans="1:3" x14ac:dyDescent="0.25">
      <c r="A74" t="s">
        <v>1198</v>
      </c>
      <c r="B74" t="s">
        <v>1198</v>
      </c>
      <c r="C74">
        <v>36</v>
      </c>
    </row>
    <row r="75" spans="1:3" x14ac:dyDescent="0.25">
      <c r="A75" t="s">
        <v>1056</v>
      </c>
      <c r="B75" t="s">
        <v>1056</v>
      </c>
      <c r="C75">
        <v>61</v>
      </c>
    </row>
    <row r="76" spans="1:3" x14ac:dyDescent="0.25">
      <c r="A76" t="s">
        <v>1453</v>
      </c>
      <c r="B76" t="s">
        <v>1463</v>
      </c>
    </row>
    <row r="77" spans="1:3" x14ac:dyDescent="0.25">
      <c r="A77" t="s">
        <v>1454</v>
      </c>
      <c r="B77" t="s">
        <v>1464</v>
      </c>
    </row>
    <row r="78" spans="1:3" x14ac:dyDescent="0.25">
      <c r="A78" t="s">
        <v>1455</v>
      </c>
      <c r="B78" t="s">
        <v>1465</v>
      </c>
    </row>
    <row r="79" spans="1:3" x14ac:dyDescent="0.25">
      <c r="A79" t="s">
        <v>1456</v>
      </c>
      <c r="B79" t="s">
        <v>1466</v>
      </c>
    </row>
    <row r="80" spans="1:3" x14ac:dyDescent="0.25">
      <c r="A80" t="s">
        <v>1457</v>
      </c>
      <c r="B80" t="s">
        <v>1467</v>
      </c>
    </row>
    <row r="81" spans="1:3" x14ac:dyDescent="0.25">
      <c r="A81" t="s">
        <v>1458</v>
      </c>
      <c r="B81" t="s">
        <v>1468</v>
      </c>
    </row>
    <row r="82" spans="1:3" x14ac:dyDescent="0.25">
      <c r="A82" t="s">
        <v>1459</v>
      </c>
      <c r="B82" t="s">
        <v>1469</v>
      </c>
    </row>
    <row r="83" spans="1:3" x14ac:dyDescent="0.25">
      <c r="A83" t="s">
        <v>1460</v>
      </c>
      <c r="B83" t="s">
        <v>1470</v>
      </c>
    </row>
    <row r="84" spans="1:3" x14ac:dyDescent="0.25">
      <c r="A84" t="s">
        <v>1461</v>
      </c>
      <c r="B84" t="s">
        <v>1471</v>
      </c>
    </row>
    <row r="85" spans="1:3" x14ac:dyDescent="0.25">
      <c r="A85" t="s">
        <v>1462</v>
      </c>
      <c r="B85" t="s">
        <v>1472</v>
      </c>
    </row>
    <row r="86" spans="1:3" x14ac:dyDescent="0.25">
      <c r="A86" t="s">
        <v>1451</v>
      </c>
      <c r="B86" t="s">
        <v>1473</v>
      </c>
    </row>
    <row r="87" spans="1:3" x14ac:dyDescent="0.25">
      <c r="A87" t="s">
        <v>1452</v>
      </c>
      <c r="B87" t="s">
        <v>1474</v>
      </c>
    </row>
    <row r="88" spans="1:3" x14ac:dyDescent="0.25">
      <c r="A88" t="s">
        <v>1060</v>
      </c>
      <c r="B88" t="s">
        <v>1475</v>
      </c>
      <c r="C88">
        <v>152</v>
      </c>
    </row>
    <row r="89" spans="1:3" x14ac:dyDescent="0.25">
      <c r="A89" t="s">
        <v>1081</v>
      </c>
      <c r="B89" t="s">
        <v>1081</v>
      </c>
      <c r="C89">
        <v>273</v>
      </c>
    </row>
    <row r="90" spans="1:3" x14ac:dyDescent="0.25">
      <c r="A90" t="s">
        <v>1155</v>
      </c>
      <c r="B90" t="s">
        <v>1155</v>
      </c>
      <c r="C90">
        <v>83</v>
      </c>
    </row>
    <row r="91" spans="1:3" x14ac:dyDescent="0.25">
      <c r="A91" t="s">
        <v>1138</v>
      </c>
      <c r="B91" t="s">
        <v>1138</v>
      </c>
      <c r="C91">
        <v>105</v>
      </c>
    </row>
    <row r="92" spans="1:3" x14ac:dyDescent="0.25">
      <c r="A92" t="s">
        <v>1119</v>
      </c>
      <c r="B92" t="s">
        <v>1119</v>
      </c>
      <c r="C92">
        <v>139</v>
      </c>
    </row>
    <row r="93" spans="1:3" x14ac:dyDescent="0.25">
      <c r="A93" t="s">
        <v>1109</v>
      </c>
      <c r="B93" t="s">
        <v>1109</v>
      </c>
      <c r="C93">
        <v>150</v>
      </c>
    </row>
    <row r="94" spans="1:3" x14ac:dyDescent="0.25">
      <c r="A94" t="s">
        <v>1050</v>
      </c>
      <c r="B94" t="s">
        <v>1050</v>
      </c>
      <c r="C94">
        <v>57</v>
      </c>
    </row>
    <row r="95" spans="1:3" x14ac:dyDescent="0.25">
      <c r="A95" t="s">
        <v>1221</v>
      </c>
      <c r="B95" t="s">
        <v>1476</v>
      </c>
    </row>
    <row r="96" spans="1:3" x14ac:dyDescent="0.25">
      <c r="A96" t="s">
        <v>1222</v>
      </c>
      <c r="B96" t="s">
        <v>1478</v>
      </c>
    </row>
    <row r="97" spans="1:3" x14ac:dyDescent="0.25">
      <c r="A97" t="s">
        <v>1477</v>
      </c>
      <c r="B97" t="s">
        <v>1479</v>
      </c>
    </row>
    <row r="98" spans="1:3" x14ac:dyDescent="0.25">
      <c r="A98" t="s">
        <v>1064</v>
      </c>
      <c r="B98" t="s">
        <v>1438</v>
      </c>
      <c r="C98">
        <v>1213</v>
      </c>
    </row>
    <row r="99" spans="1:3" x14ac:dyDescent="0.25">
      <c r="A99" t="s">
        <v>1032</v>
      </c>
      <c r="B99" t="s">
        <v>1438</v>
      </c>
      <c r="C99">
        <v>368</v>
      </c>
    </row>
    <row r="100" spans="1:3" x14ac:dyDescent="0.25">
      <c r="A100" t="s">
        <v>1087</v>
      </c>
      <c r="B100" t="s">
        <v>1087</v>
      </c>
      <c r="C100">
        <v>228</v>
      </c>
    </row>
    <row r="101" spans="1:3" x14ac:dyDescent="0.25">
      <c r="A101" t="s">
        <v>1130</v>
      </c>
      <c r="B101" t="s">
        <v>1130</v>
      </c>
      <c r="C101">
        <v>120</v>
      </c>
    </row>
    <row r="102" spans="1:3" x14ac:dyDescent="0.25">
      <c r="A102" t="s">
        <v>1192</v>
      </c>
      <c r="B102" t="s">
        <v>1192</v>
      </c>
      <c r="C102">
        <v>37</v>
      </c>
    </row>
    <row r="103" spans="1:3" x14ac:dyDescent="0.25">
      <c r="A103" t="s">
        <v>1107</v>
      </c>
      <c r="B103" t="s">
        <v>1107</v>
      </c>
      <c r="C103">
        <v>152</v>
      </c>
    </row>
    <row r="104" spans="1:3" x14ac:dyDescent="0.25">
      <c r="A104" t="s">
        <v>1157</v>
      </c>
      <c r="B104" t="s">
        <v>1157</v>
      </c>
      <c r="C104">
        <v>81</v>
      </c>
    </row>
    <row r="105" spans="1:3" x14ac:dyDescent="0.25">
      <c r="A105" t="s">
        <v>1165</v>
      </c>
      <c r="B105" t="s">
        <v>1165</v>
      </c>
      <c r="C105">
        <v>73</v>
      </c>
    </row>
    <row r="106" spans="1:3" x14ac:dyDescent="0.25">
      <c r="A106" t="s">
        <v>1162</v>
      </c>
      <c r="B106" t="s">
        <v>1162</v>
      </c>
      <c r="C106">
        <v>75</v>
      </c>
    </row>
    <row r="107" spans="1:3" x14ac:dyDescent="0.25">
      <c r="A107" t="s">
        <v>1158</v>
      </c>
      <c r="B107" t="s">
        <v>1158</v>
      </c>
      <c r="C107">
        <v>78</v>
      </c>
    </row>
    <row r="108" spans="1:3" x14ac:dyDescent="0.25">
      <c r="A108" t="s">
        <v>1193</v>
      </c>
      <c r="B108" t="s">
        <v>1480</v>
      </c>
      <c r="C108">
        <v>37</v>
      </c>
    </row>
    <row r="109" spans="1:3" x14ac:dyDescent="0.25">
      <c r="A109" t="s">
        <v>1058</v>
      </c>
      <c r="B109" t="s">
        <v>1481</v>
      </c>
    </row>
    <row r="110" spans="1:3" x14ac:dyDescent="0.25">
      <c r="A110" t="s">
        <v>1095</v>
      </c>
      <c r="B110" t="s">
        <v>1095</v>
      </c>
      <c r="C110">
        <v>196</v>
      </c>
    </row>
    <row r="111" spans="1:3" x14ac:dyDescent="0.25">
      <c r="A111" t="s">
        <v>1128</v>
      </c>
      <c r="B111" t="s">
        <v>1128</v>
      </c>
      <c r="C111">
        <v>127</v>
      </c>
    </row>
    <row r="112" spans="1:3" x14ac:dyDescent="0.25">
      <c r="A112" t="s">
        <v>1028</v>
      </c>
      <c r="B112" t="s">
        <v>1028</v>
      </c>
      <c r="C112">
        <v>865</v>
      </c>
    </row>
    <row r="113" spans="1:3" x14ac:dyDescent="0.25">
      <c r="A113" t="s">
        <v>1182</v>
      </c>
      <c r="B113" t="s">
        <v>1182</v>
      </c>
      <c r="C113">
        <v>59</v>
      </c>
    </row>
    <row r="114" spans="1:3" x14ac:dyDescent="0.25">
      <c r="A114" t="s">
        <v>1187</v>
      </c>
      <c r="B114" t="s">
        <v>1187</v>
      </c>
      <c r="C114">
        <v>53</v>
      </c>
    </row>
    <row r="115" spans="1:3" x14ac:dyDescent="0.25">
      <c r="A115" t="s">
        <v>1045</v>
      </c>
      <c r="B115" t="s">
        <v>1045</v>
      </c>
      <c r="C115">
        <v>65</v>
      </c>
    </row>
    <row r="116" spans="1:3" x14ac:dyDescent="0.25">
      <c r="A116" t="s">
        <v>1090</v>
      </c>
      <c r="B116" t="s">
        <v>1090</v>
      </c>
      <c r="C116">
        <v>227</v>
      </c>
    </row>
    <row r="117" spans="1:3" x14ac:dyDescent="0.25">
      <c r="A117" t="s">
        <v>1188</v>
      </c>
      <c r="B117" t="s">
        <v>1188</v>
      </c>
      <c r="C117">
        <v>51</v>
      </c>
    </row>
    <row r="118" spans="1:3" x14ac:dyDescent="0.25">
      <c r="A118" t="s">
        <v>988</v>
      </c>
      <c r="B118" t="s">
        <v>1482</v>
      </c>
      <c r="C118">
        <v>143</v>
      </c>
    </row>
    <row r="119" spans="1:3" x14ac:dyDescent="0.25">
      <c r="A119" t="s">
        <v>1078</v>
      </c>
      <c r="B119" t="s">
        <v>1078</v>
      </c>
      <c r="C119">
        <v>347</v>
      </c>
    </row>
    <row r="120" spans="1:3" x14ac:dyDescent="0.25">
      <c r="A120" t="s">
        <v>1219</v>
      </c>
      <c r="B120" t="s">
        <v>1219</v>
      </c>
      <c r="C120">
        <v>392</v>
      </c>
    </row>
    <row r="121" spans="1:3" x14ac:dyDescent="0.25">
      <c r="A121" t="s">
        <v>1133</v>
      </c>
      <c r="B121" t="s">
        <v>1133</v>
      </c>
      <c r="C121">
        <v>114</v>
      </c>
    </row>
    <row r="122" spans="1:3" x14ac:dyDescent="0.25">
      <c r="A122" t="s">
        <v>1127</v>
      </c>
      <c r="B122" t="s">
        <v>1127</v>
      </c>
      <c r="C122">
        <v>127</v>
      </c>
    </row>
    <row r="123" spans="1:3" x14ac:dyDescent="0.25">
      <c r="A123" t="s">
        <v>1057</v>
      </c>
      <c r="B123" t="s">
        <v>1057</v>
      </c>
      <c r="C123">
        <v>57</v>
      </c>
    </row>
    <row r="124" spans="1:3" x14ac:dyDescent="0.25">
      <c r="A124" t="s">
        <v>1169</v>
      </c>
      <c r="B124" t="s">
        <v>1169</v>
      </c>
      <c r="C124">
        <v>69</v>
      </c>
    </row>
    <row r="125" spans="1:3" x14ac:dyDescent="0.25">
      <c r="A125" t="s">
        <v>1166</v>
      </c>
      <c r="B125" t="s">
        <v>1166</v>
      </c>
      <c r="C125">
        <v>73</v>
      </c>
    </row>
    <row r="126" spans="1:3" x14ac:dyDescent="0.25">
      <c r="A126" t="s">
        <v>1113</v>
      </c>
      <c r="B126" t="s">
        <v>1483</v>
      </c>
      <c r="C126">
        <v>147</v>
      </c>
    </row>
    <row r="127" spans="1:3" x14ac:dyDescent="0.25">
      <c r="A127" t="s">
        <v>1086</v>
      </c>
      <c r="B127" t="s">
        <v>1086</v>
      </c>
      <c r="C127">
        <v>246</v>
      </c>
    </row>
    <row r="128" spans="1:3" x14ac:dyDescent="0.25">
      <c r="A128" t="s">
        <v>1030</v>
      </c>
      <c r="B128" t="s">
        <v>1030</v>
      </c>
      <c r="C128">
        <v>248</v>
      </c>
    </row>
    <row r="129" spans="1:3" x14ac:dyDescent="0.25">
      <c r="A129" t="s">
        <v>1102</v>
      </c>
      <c r="B129" t="s">
        <v>1102</v>
      </c>
      <c r="C129">
        <v>162</v>
      </c>
    </row>
    <row r="130" spans="1:3" x14ac:dyDescent="0.25">
      <c r="A130" t="s">
        <v>1040</v>
      </c>
      <c r="B130" t="s">
        <v>1040</v>
      </c>
      <c r="C130">
        <v>713</v>
      </c>
    </row>
    <row r="131" spans="1:3" x14ac:dyDescent="0.25">
      <c r="A131" t="s">
        <v>1180</v>
      </c>
      <c r="B131" t="s">
        <v>1180</v>
      </c>
      <c r="C131">
        <v>60</v>
      </c>
    </row>
    <row r="132" spans="1:3" x14ac:dyDescent="0.25">
      <c r="A132" t="s">
        <v>459</v>
      </c>
      <c r="B132" t="s">
        <v>459</v>
      </c>
      <c r="C132">
        <v>63</v>
      </c>
    </row>
    <row r="133" spans="1:3" x14ac:dyDescent="0.25">
      <c r="A133" t="s">
        <v>1153</v>
      </c>
      <c r="B133" t="s">
        <v>1484</v>
      </c>
      <c r="C133">
        <v>85</v>
      </c>
    </row>
    <row r="134" spans="1:3" x14ac:dyDescent="0.25">
      <c r="A134" t="s">
        <v>1112</v>
      </c>
      <c r="B134" t="s">
        <v>1112</v>
      </c>
      <c r="C134">
        <v>148</v>
      </c>
    </row>
    <row r="135" spans="1:3" x14ac:dyDescent="0.25">
      <c r="A135" t="s">
        <v>1100</v>
      </c>
      <c r="B135" t="s">
        <v>1100</v>
      </c>
      <c r="C135">
        <v>169</v>
      </c>
    </row>
    <row r="136" spans="1:3" x14ac:dyDescent="0.25">
      <c r="A136" t="s">
        <v>1164</v>
      </c>
      <c r="B136" t="s">
        <v>1164</v>
      </c>
      <c r="C136">
        <v>74</v>
      </c>
    </row>
    <row r="137" spans="1:3" x14ac:dyDescent="0.25">
      <c r="A137" t="s">
        <v>1031</v>
      </c>
      <c r="B137" t="s">
        <v>1031</v>
      </c>
      <c r="C137">
        <v>174</v>
      </c>
    </row>
    <row r="138" spans="1:3" x14ac:dyDescent="0.25">
      <c r="A138" t="s">
        <v>1183</v>
      </c>
      <c r="B138" t="s">
        <v>1485</v>
      </c>
      <c r="C138">
        <v>58</v>
      </c>
    </row>
    <row r="139" spans="1:3" x14ac:dyDescent="0.25">
      <c r="A139" t="s">
        <v>1027</v>
      </c>
      <c r="B139" t="s">
        <v>1027</v>
      </c>
      <c r="C139">
        <v>1853</v>
      </c>
    </row>
    <row r="140" spans="1:3" x14ac:dyDescent="0.25">
      <c r="A140" t="s">
        <v>1026</v>
      </c>
      <c r="B140" t="s">
        <v>1434</v>
      </c>
      <c r="C140">
        <v>1000</v>
      </c>
    </row>
    <row r="141" spans="1:3" x14ac:dyDescent="0.25">
      <c r="A141" t="s">
        <v>1199</v>
      </c>
      <c r="B141" t="s">
        <v>1199</v>
      </c>
      <c r="C141">
        <v>36</v>
      </c>
    </row>
    <row r="142" spans="1:3" x14ac:dyDescent="0.25">
      <c r="A142" t="s">
        <v>1076</v>
      </c>
      <c r="B142" t="s">
        <v>1076</v>
      </c>
      <c r="C142">
        <v>368</v>
      </c>
    </row>
    <row r="143" spans="1:3" x14ac:dyDescent="0.25">
      <c r="A143" t="s">
        <v>1125</v>
      </c>
      <c r="B143" t="s">
        <v>1125</v>
      </c>
      <c r="C143">
        <v>134</v>
      </c>
    </row>
    <row r="144" spans="1:3" x14ac:dyDescent="0.25">
      <c r="A144" t="s">
        <v>1190</v>
      </c>
      <c r="B144" t="s">
        <v>1190</v>
      </c>
      <c r="C144">
        <v>39</v>
      </c>
    </row>
    <row r="145" spans="1:3" x14ac:dyDescent="0.25">
      <c r="A145" t="s">
        <v>1225</v>
      </c>
      <c r="B145" t="s">
        <v>1225</v>
      </c>
      <c r="C145">
        <v>85</v>
      </c>
    </row>
    <row r="146" spans="1:3" x14ac:dyDescent="0.25">
      <c r="A146" t="s">
        <v>1110</v>
      </c>
      <c r="B146" t="s">
        <v>1110</v>
      </c>
      <c r="C146">
        <v>149</v>
      </c>
    </row>
    <row r="147" spans="1:3" x14ac:dyDescent="0.25">
      <c r="A147" t="s">
        <v>1049</v>
      </c>
      <c r="B147" t="s">
        <v>1049</v>
      </c>
      <c r="C147">
        <v>73</v>
      </c>
    </row>
    <row r="148" spans="1:3" x14ac:dyDescent="0.25">
      <c r="A148" t="s">
        <v>1135</v>
      </c>
      <c r="B148" t="s">
        <v>1135</v>
      </c>
      <c r="C148">
        <v>109</v>
      </c>
    </row>
    <row r="149" spans="1:3" x14ac:dyDescent="0.25">
      <c r="A149" t="s">
        <v>1121</v>
      </c>
      <c r="B149" t="s">
        <v>1121</v>
      </c>
      <c r="C149">
        <v>136</v>
      </c>
    </row>
    <row r="150" spans="1:3" x14ac:dyDescent="0.25">
      <c r="A150" t="s">
        <v>1194</v>
      </c>
      <c r="B150" t="s">
        <v>1194</v>
      </c>
      <c r="C150">
        <v>37</v>
      </c>
    </row>
    <row r="151" spans="1:3" x14ac:dyDescent="0.25">
      <c r="A151" t="s">
        <v>1171</v>
      </c>
      <c r="B151" t="s">
        <v>1171</v>
      </c>
      <c r="C151">
        <v>67</v>
      </c>
    </row>
    <row r="152" spans="1:3" x14ac:dyDescent="0.25">
      <c r="A152" t="s">
        <v>1178</v>
      </c>
      <c r="B152" t="s">
        <v>1178</v>
      </c>
      <c r="C152">
        <v>62</v>
      </c>
    </row>
    <row r="153" spans="1:3" x14ac:dyDescent="0.25">
      <c r="A153" t="s">
        <v>1118</v>
      </c>
      <c r="B153" t="s">
        <v>1118</v>
      </c>
      <c r="C153">
        <v>140</v>
      </c>
    </row>
    <row r="154" spans="1:3" x14ac:dyDescent="0.25">
      <c r="A154" t="s">
        <v>1161</v>
      </c>
      <c r="B154" t="s">
        <v>1161</v>
      </c>
      <c r="C154">
        <v>76</v>
      </c>
    </row>
    <row r="155" spans="1:3" x14ac:dyDescent="0.25">
      <c r="A155" t="s">
        <v>1184</v>
      </c>
      <c r="B155" t="s">
        <v>1184</v>
      </c>
      <c r="C155">
        <v>58</v>
      </c>
    </row>
    <row r="156" spans="1:3" x14ac:dyDescent="0.25">
      <c r="A156" t="s">
        <v>1059</v>
      </c>
      <c r="B156" t="s">
        <v>1059</v>
      </c>
      <c r="C156">
        <v>65</v>
      </c>
    </row>
    <row r="157" spans="1:3" x14ac:dyDescent="0.25">
      <c r="A157" t="s">
        <v>1131</v>
      </c>
      <c r="B157" t="s">
        <v>1131</v>
      </c>
      <c r="C157">
        <v>119</v>
      </c>
    </row>
    <row r="158" spans="1:3" x14ac:dyDescent="0.25">
      <c r="A158" t="s">
        <v>1103</v>
      </c>
      <c r="B158" t="s">
        <v>1103</v>
      </c>
      <c r="C158">
        <v>160</v>
      </c>
    </row>
    <row r="159" spans="1:3" x14ac:dyDescent="0.25">
      <c r="A159" t="s">
        <v>1189</v>
      </c>
      <c r="B159" t="s">
        <v>1189</v>
      </c>
      <c r="C159">
        <v>48</v>
      </c>
    </row>
    <row r="160" spans="1:3" x14ac:dyDescent="0.25">
      <c r="A160" t="s">
        <v>1179</v>
      </c>
      <c r="B160" t="s">
        <v>1179</v>
      </c>
      <c r="C160">
        <v>60</v>
      </c>
    </row>
    <row r="161" spans="1:3" x14ac:dyDescent="0.25">
      <c r="A161" t="s">
        <v>1075</v>
      </c>
      <c r="B161" t="s">
        <v>1435</v>
      </c>
      <c r="C161">
        <v>401</v>
      </c>
    </row>
    <row r="162" spans="1:3" x14ac:dyDescent="0.25">
      <c r="A162" t="s">
        <v>1148</v>
      </c>
      <c r="B162" t="s">
        <v>1148</v>
      </c>
      <c r="C162">
        <v>92</v>
      </c>
    </row>
    <row r="163" spans="1:3" x14ac:dyDescent="0.25">
      <c r="A163" t="s">
        <v>1072</v>
      </c>
      <c r="B163" t="s">
        <v>1072</v>
      </c>
      <c r="C163">
        <v>452</v>
      </c>
    </row>
    <row r="164" spans="1:3" x14ac:dyDescent="0.25">
      <c r="A164" t="s">
        <v>1063</v>
      </c>
      <c r="B164" t="s">
        <v>1063</v>
      </c>
      <c r="C164">
        <v>2032</v>
      </c>
    </row>
    <row r="165" spans="1:3" x14ac:dyDescent="0.25">
      <c r="A165" t="s">
        <v>512</v>
      </c>
      <c r="B165" t="s">
        <v>512</v>
      </c>
      <c r="C165">
        <v>154</v>
      </c>
    </row>
    <row r="166" spans="1:3" x14ac:dyDescent="0.25">
      <c r="A166" t="s">
        <v>1092</v>
      </c>
      <c r="B166" t="s">
        <v>1092</v>
      </c>
      <c r="C166">
        <v>212</v>
      </c>
    </row>
    <row r="167" spans="1:3" x14ac:dyDescent="0.25">
      <c r="A167" t="s">
        <v>1010</v>
      </c>
      <c r="B167" t="s">
        <v>1010</v>
      </c>
      <c r="C167">
        <v>663</v>
      </c>
    </row>
    <row r="168" spans="1:3" ht="19.5" customHeight="1" x14ac:dyDescent="0.25">
      <c r="A168" t="s">
        <v>1170</v>
      </c>
      <c r="B168" t="s">
        <v>1170</v>
      </c>
      <c r="C168">
        <v>67</v>
      </c>
    </row>
    <row r="169" spans="1:3" x14ac:dyDescent="0.25">
      <c r="A169" t="s">
        <v>1073</v>
      </c>
      <c r="B169" t="s">
        <v>1073</v>
      </c>
      <c r="C169">
        <v>439</v>
      </c>
    </row>
    <row r="170" spans="1:3" x14ac:dyDescent="0.25">
      <c r="A170" t="s">
        <v>1223</v>
      </c>
      <c r="B170" t="s">
        <v>1223</v>
      </c>
    </row>
    <row r="171" spans="1:3" x14ac:dyDescent="0.25">
      <c r="A171" t="s">
        <v>1211</v>
      </c>
      <c r="B171" t="s">
        <v>1211</v>
      </c>
      <c r="C171">
        <v>516</v>
      </c>
    </row>
    <row r="172" spans="1:3" x14ac:dyDescent="0.25">
      <c r="A172" t="s">
        <v>1173</v>
      </c>
      <c r="B172" t="s">
        <v>1173</v>
      </c>
      <c r="C172">
        <v>66</v>
      </c>
    </row>
    <row r="173" spans="1:3" x14ac:dyDescent="0.25">
      <c r="A173" t="s">
        <v>1132</v>
      </c>
      <c r="B173" t="s">
        <v>1132</v>
      </c>
      <c r="C173">
        <v>115</v>
      </c>
    </row>
    <row r="174" spans="1:3" x14ac:dyDescent="0.25">
      <c r="A174" t="s">
        <v>1097</v>
      </c>
      <c r="B174" t="s">
        <v>1097</v>
      </c>
      <c r="C174">
        <v>193</v>
      </c>
    </row>
    <row r="175" spans="1:3" x14ac:dyDescent="0.25">
      <c r="A175" t="s">
        <v>1185</v>
      </c>
      <c r="B175" t="s">
        <v>1185</v>
      </c>
      <c r="C175">
        <v>58</v>
      </c>
    </row>
    <row r="176" spans="1:3" x14ac:dyDescent="0.25">
      <c r="A176" t="s">
        <v>1181</v>
      </c>
      <c r="B176" t="s">
        <v>1181</v>
      </c>
      <c r="C176">
        <v>60</v>
      </c>
    </row>
    <row r="177" spans="1:3" x14ac:dyDescent="0.25">
      <c r="A177" t="s">
        <v>1195</v>
      </c>
      <c r="B177" t="s">
        <v>1195</v>
      </c>
      <c r="C177">
        <v>37</v>
      </c>
    </row>
    <row r="178" spans="1:3" x14ac:dyDescent="0.25">
      <c r="A178" t="s">
        <v>1160</v>
      </c>
      <c r="B178" t="s">
        <v>1486</v>
      </c>
      <c r="C178">
        <v>76</v>
      </c>
    </row>
    <row r="179" spans="1:3" x14ac:dyDescent="0.25">
      <c r="A179" t="s">
        <v>1053</v>
      </c>
      <c r="B179" t="s">
        <v>1053</v>
      </c>
      <c r="C179">
        <v>149</v>
      </c>
    </row>
    <row r="180" spans="1:3" x14ac:dyDescent="0.25">
      <c r="A180" t="s">
        <v>1038</v>
      </c>
      <c r="B180" t="s">
        <v>1038</v>
      </c>
      <c r="C180">
        <v>864</v>
      </c>
    </row>
    <row r="181" spans="1:3" x14ac:dyDescent="0.25">
      <c r="A181" t="s">
        <v>1168</v>
      </c>
      <c r="B181" t="s">
        <v>1168</v>
      </c>
      <c r="C181">
        <v>69</v>
      </c>
    </row>
    <row r="182" spans="1:3" x14ac:dyDescent="0.25">
      <c r="A182" t="s">
        <v>1139</v>
      </c>
      <c r="B182" t="s">
        <v>1139</v>
      </c>
      <c r="C182">
        <v>104</v>
      </c>
    </row>
    <row r="183" spans="1:3" x14ac:dyDescent="0.25">
      <c r="A183" t="s">
        <v>1029</v>
      </c>
      <c r="B183" t="s">
        <v>1029</v>
      </c>
      <c r="C183">
        <v>178</v>
      </c>
    </row>
    <row r="184" spans="1:3" x14ac:dyDescent="0.25">
      <c r="A184" t="s">
        <v>1143</v>
      </c>
      <c r="B184" t="s">
        <v>1143</v>
      </c>
      <c r="C184">
        <v>102</v>
      </c>
    </row>
    <row r="185" spans="1:3" x14ac:dyDescent="0.25">
      <c r="A185" t="s">
        <v>1080</v>
      </c>
      <c r="B185" t="s">
        <v>1080</v>
      </c>
      <c r="C185">
        <v>292</v>
      </c>
    </row>
    <row r="186" spans="1:3" x14ac:dyDescent="0.25">
      <c r="A186" t="s">
        <v>1101</v>
      </c>
      <c r="B186" t="s">
        <v>1487</v>
      </c>
      <c r="C186">
        <v>165</v>
      </c>
    </row>
    <row r="187" spans="1:3" x14ac:dyDescent="0.25">
      <c r="A187" t="s">
        <v>1098</v>
      </c>
      <c r="B187" t="s">
        <v>1098</v>
      </c>
      <c r="C187">
        <v>182</v>
      </c>
    </row>
    <row r="188" spans="1:3" x14ac:dyDescent="0.25">
      <c r="A188" t="s">
        <v>1082</v>
      </c>
      <c r="B188" t="s">
        <v>1082</v>
      </c>
      <c r="C188">
        <v>264</v>
      </c>
    </row>
    <row r="189" spans="1:3" x14ac:dyDescent="0.25">
      <c r="A189" t="s">
        <v>1124</v>
      </c>
      <c r="B189" t="s">
        <v>1124</v>
      </c>
      <c r="C189">
        <v>134</v>
      </c>
    </row>
    <row r="190" spans="1:3" x14ac:dyDescent="0.25">
      <c r="A190" t="s">
        <v>1159</v>
      </c>
      <c r="B190" t="s">
        <v>1159</v>
      </c>
      <c r="C190">
        <v>76</v>
      </c>
    </row>
    <row r="191" spans="1:3" x14ac:dyDescent="0.25">
      <c r="A191" t="s">
        <v>1134</v>
      </c>
      <c r="B191" t="s">
        <v>1134</v>
      </c>
      <c r="C191">
        <v>111</v>
      </c>
    </row>
    <row r="192" spans="1:3" x14ac:dyDescent="0.25">
      <c r="A192" t="s">
        <v>1071</v>
      </c>
      <c r="B192" t="s">
        <v>1071</v>
      </c>
      <c r="C192">
        <v>458</v>
      </c>
    </row>
    <row r="193" spans="1:3" x14ac:dyDescent="0.25">
      <c r="A193" t="s">
        <v>1150</v>
      </c>
      <c r="B193" t="s">
        <v>1150</v>
      </c>
      <c r="C193">
        <v>90</v>
      </c>
    </row>
    <row r="194" spans="1:3" x14ac:dyDescent="0.25">
      <c r="A194" t="s">
        <v>1065</v>
      </c>
      <c r="B194" t="s">
        <v>1065</v>
      </c>
      <c r="C194">
        <v>1171</v>
      </c>
    </row>
    <row r="195" spans="1:3" x14ac:dyDescent="0.25">
      <c r="A195" t="s">
        <v>1120</v>
      </c>
      <c r="B195" t="s">
        <v>1488</v>
      </c>
      <c r="C195">
        <v>137</v>
      </c>
    </row>
    <row r="196" spans="1:3" x14ac:dyDescent="0.25">
      <c r="A196" t="s">
        <v>1061</v>
      </c>
      <c r="B196" t="s">
        <v>1061</v>
      </c>
      <c r="C196">
        <v>84</v>
      </c>
    </row>
    <row r="197" spans="1:3" x14ac:dyDescent="0.25">
      <c r="A197" t="s">
        <v>1074</v>
      </c>
      <c r="B197" t="s">
        <v>1074</v>
      </c>
      <c r="C197">
        <v>131</v>
      </c>
    </row>
    <row r="198" spans="1:3" x14ac:dyDescent="0.25">
      <c r="A198" t="s">
        <v>1117</v>
      </c>
      <c r="B198" t="s">
        <v>1117</v>
      </c>
      <c r="C198">
        <v>143</v>
      </c>
    </row>
    <row r="199" spans="1:3" x14ac:dyDescent="0.25">
      <c r="A199" t="s">
        <v>1070</v>
      </c>
      <c r="B199" t="s">
        <v>1117</v>
      </c>
      <c r="C199">
        <v>464</v>
      </c>
    </row>
    <row r="200" spans="1:3" x14ac:dyDescent="0.25">
      <c r="A200" t="s">
        <v>1167</v>
      </c>
      <c r="B200" t="s">
        <v>1167</v>
      </c>
      <c r="C200">
        <v>70</v>
      </c>
    </row>
    <row r="201" spans="1:3" x14ac:dyDescent="0.25">
      <c r="A201" t="s">
        <v>1052</v>
      </c>
      <c r="B201" t="s">
        <v>1432</v>
      </c>
      <c r="C201">
        <v>2369</v>
      </c>
    </row>
    <row r="202" spans="1:3" x14ac:dyDescent="0.25">
      <c r="A202" t="s">
        <v>1079</v>
      </c>
      <c r="B202" t="s">
        <v>1079</v>
      </c>
      <c r="C202">
        <v>341</v>
      </c>
    </row>
    <row r="203" spans="1:3" x14ac:dyDescent="0.25">
      <c r="A203" t="s">
        <v>1147</v>
      </c>
      <c r="B203" t="s">
        <v>1147</v>
      </c>
      <c r="C203">
        <v>92</v>
      </c>
    </row>
    <row r="204" spans="1:3" x14ac:dyDescent="0.25">
      <c r="A204" t="s">
        <v>1066</v>
      </c>
      <c r="B204" t="s">
        <v>1066</v>
      </c>
      <c r="C204">
        <v>690</v>
      </c>
    </row>
    <row r="205" spans="1:3" x14ac:dyDescent="0.25">
      <c r="A205" t="s">
        <v>1096</v>
      </c>
      <c r="B205" t="s">
        <v>1096</v>
      </c>
      <c r="C205">
        <v>195</v>
      </c>
    </row>
    <row r="206" spans="1:3" x14ac:dyDescent="0.25">
      <c r="A206" t="s">
        <v>1152</v>
      </c>
      <c r="B206" t="s">
        <v>1096</v>
      </c>
      <c r="C206">
        <v>89</v>
      </c>
    </row>
  </sheetData>
  <conditionalFormatting sqref="A2:A206 B76:B87 B96:B97">
    <cfRule type="duplicateValues" dxfId="5" priority="25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Index_of_People</vt:lpstr>
      <vt:lpstr>Index_of_Locations</vt:lpstr>
      <vt:lpstr>Index_of_Keywords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Penner</dc:creator>
  <cp:lastModifiedBy>Penner, James MOTI:EX</cp:lastModifiedBy>
  <dcterms:created xsi:type="dcterms:W3CDTF">2023-08-19T18:28:19Z</dcterms:created>
  <dcterms:modified xsi:type="dcterms:W3CDTF">2024-01-14T06:05:36Z</dcterms:modified>
</cp:coreProperties>
</file>